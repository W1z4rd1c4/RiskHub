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https://slapojcz-my.sharepoint.com/personal/vojtechsulak_slapoj_cz/Documents/Plocha/VS/Risk Apetite/"/>
    </mc:Choice>
  </mc:AlternateContent>
  <xr:revisionPtr revIDLastSave="212" documentId="8_{52402F53-B443-4AA6-BDE7-C13B7C942AFB}" xr6:coauthVersionLast="47" xr6:coauthVersionMax="47" xr10:uidLastSave="{45F5426C-919A-43EA-8A88-BF9377E240B1}"/>
  <bookViews>
    <workbookView xWindow="-28920" yWindow="-120" windowWidth="29040" windowHeight="15720" firstSheet="2" activeTab="6" xr2:uid="{00000000-000D-0000-FFFF-FFFF00000000}"/>
  </bookViews>
  <sheets>
    <sheet name="List2" sheetId="27" r:id="rId1"/>
    <sheet name="Neživotní upisovací riziko" sheetId="21" r:id="rId2"/>
    <sheet name="Zdravotní upisovací riziko" sheetId="22" r:id="rId3"/>
    <sheet name="Tržní riziko" sheetId="23" r:id="rId4"/>
    <sheet name="Riziko selhání protistrany" sheetId="24" r:id="rId5"/>
    <sheet name="Provozní riziko" sheetId="25" r:id="rId6"/>
    <sheet name="Sheet1" sheetId="26" r:id="rId7"/>
    <sheet name="Sheet2" sheetId="28" r:id="rId8"/>
    <sheet name="Katalog rizik" sheetId="15" state="hidden" r:id="rId9"/>
    <sheet name="Setříděná rizika" sheetId="13" state="hidden" r:id="rId10"/>
    <sheet name="List1" sheetId="12" state="hidden" r:id="rId11"/>
    <sheet name="Kontroly" sheetId="16" state="hidden" r:id="rId12"/>
    <sheet name="KategorieKontroly" sheetId="17" state="hidden" r:id="rId13"/>
  </sheets>
  <externalReferences>
    <externalReference r:id="rId14"/>
    <externalReference r:id="rId15"/>
    <externalReference r:id="rId16"/>
  </externalReferences>
  <definedNames>
    <definedName name="_xlnm._FilterDatabase" localSheetId="8" hidden="1">'Katalog rizik'!$B$6:$S$53</definedName>
    <definedName name="_xlnm._FilterDatabase" localSheetId="10" hidden="1">List1!$A$6:$U$7</definedName>
    <definedName name="_xlnm._FilterDatabase" localSheetId="9" hidden="1">'Setříděná rizika'!$A$6:$T$52</definedName>
    <definedName name="četnost">'Katalog rizik'!#REF!</definedName>
    <definedName name="dopad">'Katalog rizik'!#REF!</definedName>
    <definedName name="FR_Finanční_riziko">'Katalog rizik'!#REF!</definedName>
    <definedName name="ochrana">'Katalog rizik'!#REF!</definedName>
    <definedName name="OR_Operační_riziko">'Katalog rizik'!#REF!</definedName>
    <definedName name="_xlnm.Print_Area" localSheetId="8">'Katalog rizik'!$B$6:$S$52</definedName>
    <definedName name="_xlnm.Print_Area" localSheetId="12">KategorieKontroly!$A$1:$E$15</definedName>
    <definedName name="_xlnm.Print_Area" localSheetId="9">'Setříděná rizika'!$A$1:$T$37</definedName>
    <definedName name="_xlnm.Print_Titles" localSheetId="8">'Katalog rizik'!$6:$6</definedName>
    <definedName name="_xlnm.Print_Titles" localSheetId="9">'Setříděná rizika'!$1:$7</definedName>
    <definedName name="PT_Pojistně_technické_riziko">'Katalog rizik'!$T$2:$T$3</definedName>
    <definedName name="Z_00C58FA1_E183_43B5_8A7D_867A93E9ED42_.wvu.FilterData" localSheetId="9" hidden="1">'Setříděná rizika'!$B$2:$T$7</definedName>
    <definedName name="Z_00C58FA1_E183_43B5_8A7D_867A93E9ED42_.wvu.PrintArea" localSheetId="9" hidden="1">'Setříděná rizika'!$B$1:$T$37</definedName>
    <definedName name="Z_00C58FA1_E183_43B5_8A7D_867A93E9ED42_.wvu.PrintTitles" localSheetId="9" hidden="1">'Setříděná rizika'!$1:$7</definedName>
    <definedName name="Z_00C58FA1_E183_43B5_8A7D_867A93E9ED42_.wvu.Rows" localSheetId="9" hidden="1">'Setříděná rizika'!#REF!,'Setříděná rizika'!#REF!,'Setříděná rizika'!#REF!,'Setříděná rizika'!$25:$25,'Setříděná rizika'!#REF!,'Setříděná rizika'!#REF!,'Setříděná rizika'!#REF!</definedName>
    <definedName name="Z_1630C31B_559A_45DB_ABF1_5BE93919782C_.wvu.PrintArea" localSheetId="9" hidden="1">'Setříděná rizika'!$B$1:$T$37</definedName>
    <definedName name="Z_1630C31B_559A_45DB_ABF1_5BE93919782C_.wvu.PrintTitles" localSheetId="9" hidden="1">'Setříděná rizika'!$1:$7</definedName>
    <definedName name="Z_46C93793_EBBD_480B_B829_2584519197F1_.wvu.Cols" localSheetId="9" hidden="1">'Setříděná rizika'!$H:$I,'Setříděná rizika'!$L:$N,'Setříděná rizika'!#REF!,'Setříděná rizika'!#REF!,'Setříděná rizika'!#REF!</definedName>
    <definedName name="Z_46C93793_EBBD_480B_B829_2584519197F1_.wvu.PrintArea" localSheetId="9" hidden="1">'Setříděná rizika'!$B$1:$T$37</definedName>
    <definedName name="Z_46C93793_EBBD_480B_B829_2584519197F1_.wvu.PrintTitles" localSheetId="9" hidden="1">'Setříděná rizika'!$1:$7</definedName>
    <definedName name="Z_779E4B8E_6F91_447C_A250_51C1D92F04F7_.wvu.PrintArea" localSheetId="9" hidden="1">'Setříděná rizika'!$B$1:$T$37</definedName>
    <definedName name="Z_779E4B8E_6F91_447C_A250_51C1D92F04F7_.wvu.PrintTitles" localSheetId="9" hidden="1">'Setříděná rizika'!$1:$7</definedName>
  </definedNames>
  <calcPr calcId="191028"/>
  <customWorkbookViews>
    <customWorkbookView name="Global" guid="{00C58FA1-E183-43B5-8A7D-867A93E9ED42}" maximized="1" windowWidth="1020" windowHeight="524" activeSheetId="4"/>
    <customWorkbookView name="All (for printing)" guid="{1630C31B-559A-45DB-ABF1-5BE93919782C}" maximized="1" windowWidth="1020" windowHeight="524" activeSheetId="4"/>
    <customWorkbookView name="No scoring or rating" guid="{46C93793-EBBD-480B-B829-2584519197F1}" maximized="1" windowWidth="1020" windowHeight="524" activeSheetId="4"/>
    <customWorkbookView name="All" guid="{779E4B8E-6F91-447C-A250-51C1D92F04F7}" maximized="1" windowWidth="1020" windowHeight="524" activeSheetId="4"/>
  </customWorkbookViews>
  <pivotCaches>
    <pivotCache cacheId="0" r:id="rId1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 i="26" l="1" a="1"/>
  <c r="N5" i="26" s="1"/>
  <c r="O3" i="26"/>
  <c r="P28" i="23"/>
  <c r="P27" i="23"/>
  <c r="P26" i="23"/>
  <c r="P25" i="23"/>
  <c r="P24" i="23"/>
  <c r="P23" i="23"/>
  <c r="P22" i="23"/>
  <c r="P21" i="23"/>
  <c r="P20" i="23"/>
  <c r="P19" i="23"/>
  <c r="P18" i="23"/>
  <c r="P17" i="23"/>
  <c r="P16" i="23"/>
  <c r="P15" i="23"/>
  <c r="P14" i="23"/>
  <c r="P13" i="23"/>
  <c r="P12" i="23"/>
  <c r="P11" i="23"/>
  <c r="P10" i="23"/>
  <c r="P9" i="23"/>
  <c r="P8" i="23"/>
  <c r="P7" i="23"/>
  <c r="P6" i="23"/>
  <c r="P5" i="23"/>
  <c r="P4" i="23"/>
  <c r="P3" i="23"/>
  <c r="P2" i="23"/>
  <c r="O3" i="23"/>
  <c r="O4" i="23"/>
  <c r="O5" i="23"/>
  <c r="O6" i="23"/>
  <c r="O7" i="23"/>
  <c r="O8" i="23"/>
  <c r="O9" i="23"/>
  <c r="O10" i="23"/>
  <c r="O11" i="23"/>
  <c r="O12" i="23"/>
  <c r="O13" i="23"/>
  <c r="O14" i="23"/>
  <c r="O15" i="23"/>
  <c r="O16" i="23"/>
  <c r="O17" i="23"/>
  <c r="O18" i="23"/>
  <c r="O19" i="23"/>
  <c r="O20" i="23"/>
  <c r="O21" i="23"/>
  <c r="O22" i="23"/>
  <c r="O23" i="23"/>
  <c r="O24" i="23"/>
  <c r="O25" i="23"/>
  <c r="O26" i="23"/>
  <c r="O27" i="23"/>
  <c r="O28" i="23"/>
  <c r="O2" i="23"/>
  <c r="O2" i="25"/>
  <c r="C111" i="16"/>
  <c r="C110" i="16"/>
  <c r="C109" i="16"/>
  <c r="C108" i="16"/>
  <c r="C107" i="16"/>
  <c r="C106" i="16"/>
  <c r="C105" i="16"/>
  <c r="C104" i="16"/>
  <c r="C103" i="16"/>
  <c r="C102" i="16"/>
  <c r="C101" i="16"/>
  <c r="C100" i="16"/>
  <c r="C99" i="16"/>
  <c r="C98" i="16"/>
  <c r="C97" i="16"/>
  <c r="C96" i="16"/>
  <c r="C95" i="16"/>
  <c r="C94" i="16"/>
  <c r="C93" i="16"/>
  <c r="C92" i="16"/>
  <c r="C91" i="16"/>
  <c r="C90" i="16"/>
  <c r="C89" i="16"/>
  <c r="C88" i="16"/>
  <c r="C87" i="16"/>
  <c r="C86" i="16"/>
  <c r="C85" i="16"/>
  <c r="C84" i="16"/>
  <c r="C83" i="16"/>
  <c r="C82" i="16"/>
  <c r="C81" i="16"/>
  <c r="C80" i="16"/>
  <c r="C79" i="16"/>
  <c r="C78" i="16"/>
  <c r="C77" i="16"/>
  <c r="C76" i="16"/>
  <c r="C75" i="16"/>
  <c r="C74" i="16"/>
  <c r="C73" i="16"/>
  <c r="C72" i="16"/>
  <c r="C71" i="16"/>
  <c r="C70" i="16"/>
  <c r="C69" i="16"/>
  <c r="C68" i="16"/>
  <c r="C67" i="16"/>
  <c r="C66" i="16"/>
  <c r="C65" i="16"/>
  <c r="C64" i="16"/>
  <c r="C63" i="16"/>
  <c r="C62" i="16"/>
  <c r="C61" i="16"/>
  <c r="C60" i="16"/>
  <c r="C59" i="16"/>
  <c r="C58" i="16"/>
  <c r="C57" i="16"/>
  <c r="C56" i="16"/>
  <c r="C55" i="16"/>
  <c r="C54" i="16"/>
  <c r="C53" i="16"/>
  <c r="C52" i="16"/>
  <c r="C51" i="16"/>
  <c r="C50" i="16"/>
  <c r="C49" i="16"/>
  <c r="C48" i="16"/>
  <c r="C47" i="16"/>
  <c r="C46" i="16"/>
  <c r="C45" i="16"/>
  <c r="C44" i="16"/>
  <c r="C43" i="16"/>
  <c r="C42" i="16"/>
  <c r="C41" i="16"/>
  <c r="C40" i="16"/>
  <c r="C39" i="16"/>
  <c r="C38" i="16"/>
  <c r="C37" i="16"/>
  <c r="C36" i="16"/>
  <c r="C35" i="16"/>
  <c r="C34" i="16"/>
  <c r="C33" i="16"/>
  <c r="C32" i="16"/>
  <c r="C31" i="16"/>
  <c r="C30" i="16"/>
  <c r="C29" i="16"/>
  <c r="C28" i="16"/>
  <c r="C27" i="16"/>
  <c r="C26" i="16"/>
  <c r="C25" i="16"/>
  <c r="C24" i="16"/>
  <c r="C23" i="16"/>
  <c r="C22" i="16"/>
  <c r="C21" i="16"/>
  <c r="C20" i="16"/>
  <c r="C19" i="16"/>
  <c r="C18" i="16"/>
  <c r="C17" i="16"/>
  <c r="C16" i="16"/>
  <c r="C15" i="16"/>
  <c r="C14" i="16"/>
  <c r="C13" i="16"/>
  <c r="C12" i="16"/>
  <c r="C11" i="16"/>
  <c r="C10" i="16"/>
  <c r="C9" i="16"/>
  <c r="C8" i="16"/>
  <c r="C7" i="16"/>
  <c r="C6" i="16"/>
  <c r="N19" i="15"/>
  <c r="L19" i="15"/>
  <c r="N18" i="15"/>
  <c r="L18" i="15"/>
  <c r="G52" i="13" l="1"/>
  <c r="N10" i="13"/>
  <c r="J10" i="13"/>
  <c r="N13" i="13"/>
  <c r="J13" i="13"/>
  <c r="N43" i="13"/>
  <c r="J43" i="13"/>
  <c r="N9" i="13"/>
  <c r="J9" i="13"/>
  <c r="N51" i="13"/>
  <c r="J51" i="13"/>
  <c r="N50" i="13"/>
  <c r="J50" i="13"/>
  <c r="N15" i="13"/>
  <c r="J15" i="13"/>
  <c r="N33" i="13"/>
  <c r="J33" i="13"/>
  <c r="N22" i="13"/>
  <c r="J22" i="13"/>
  <c r="N32" i="13"/>
  <c r="J32" i="13"/>
  <c r="N40" i="13"/>
  <c r="J40" i="13"/>
  <c r="N35" i="13"/>
  <c r="J35" i="13"/>
  <c r="N31" i="13"/>
  <c r="J31" i="13"/>
  <c r="N12" i="13"/>
  <c r="J12" i="13"/>
  <c r="N47" i="13"/>
  <c r="J47" i="13"/>
  <c r="N49" i="13"/>
  <c r="J49" i="13"/>
  <c r="N39" i="13"/>
  <c r="J39" i="13"/>
  <c r="N30" i="13"/>
  <c r="J30" i="13"/>
  <c r="N29" i="13"/>
  <c r="J29" i="13"/>
  <c r="N46" i="13"/>
  <c r="J46" i="13"/>
  <c r="N19" i="13"/>
  <c r="J19" i="13"/>
  <c r="N18" i="13"/>
  <c r="J18" i="13"/>
  <c r="N16" i="13"/>
  <c r="J16" i="13"/>
  <c r="N17" i="13"/>
  <c r="J17" i="13"/>
  <c r="N38" i="13"/>
  <c r="J38" i="13"/>
  <c r="N28" i="13"/>
  <c r="J28" i="13"/>
  <c r="N45" i="13"/>
  <c r="J45" i="13"/>
  <c r="N21" i="13"/>
  <c r="J21" i="13"/>
  <c r="N48" i="13"/>
  <c r="J48" i="13"/>
  <c r="N42" i="13"/>
  <c r="J42" i="13"/>
  <c r="N27" i="13"/>
  <c r="J27" i="13"/>
  <c r="N34" i="13"/>
  <c r="J34" i="13"/>
  <c r="N41" i="13"/>
  <c r="J41" i="13"/>
  <c r="N26" i="13"/>
  <c r="J26" i="13"/>
  <c r="N20" i="13"/>
  <c r="J20" i="13"/>
  <c r="N25" i="13"/>
  <c r="J25" i="13"/>
  <c r="N44" i="13"/>
  <c r="J44" i="13"/>
  <c r="N11" i="13"/>
  <c r="J11" i="13"/>
  <c r="N8" i="13"/>
  <c r="J8" i="13"/>
  <c r="N24" i="13"/>
  <c r="J24" i="13"/>
  <c r="N14" i="13"/>
  <c r="J14" i="13"/>
  <c r="N37" i="13"/>
  <c r="J37" i="13"/>
  <c r="N36" i="13"/>
  <c r="J36" i="13"/>
  <c r="N23" i="13"/>
  <c r="J23" i="13"/>
  <c r="G53" i="12" l="1"/>
  <c r="N10" i="12"/>
  <c r="J10" i="12"/>
  <c r="N15" i="12"/>
  <c r="J15" i="12"/>
  <c r="N52" i="12"/>
  <c r="J52" i="12"/>
  <c r="N9" i="12"/>
  <c r="J9" i="12"/>
  <c r="N51" i="12"/>
  <c r="J51" i="12"/>
  <c r="N50" i="12"/>
  <c r="J50" i="12"/>
  <c r="N22" i="12"/>
  <c r="J22" i="12"/>
  <c r="N38" i="12"/>
  <c r="J38" i="12"/>
  <c r="N37" i="12"/>
  <c r="J37" i="12"/>
  <c r="N14" i="12"/>
  <c r="J14" i="12"/>
  <c r="N49" i="12"/>
  <c r="J49" i="12"/>
  <c r="N36" i="12"/>
  <c r="J36" i="12"/>
  <c r="N35" i="12"/>
  <c r="J35" i="12"/>
  <c r="N21" i="12"/>
  <c r="J21" i="12"/>
  <c r="N48" i="12"/>
  <c r="J48" i="12"/>
  <c r="N47" i="12"/>
  <c r="J47" i="12"/>
  <c r="N34" i="12"/>
  <c r="J34" i="12"/>
  <c r="N20" i="12"/>
  <c r="J20" i="12"/>
  <c r="N33" i="12"/>
  <c r="J33" i="12"/>
  <c r="N19" i="12"/>
  <c r="J19" i="12"/>
  <c r="N32" i="12"/>
  <c r="J32" i="12"/>
  <c r="N31" i="12"/>
  <c r="J31" i="12"/>
  <c r="N18" i="12"/>
  <c r="J18" i="12"/>
  <c r="N13" i="12"/>
  <c r="J13" i="12"/>
  <c r="N46" i="12"/>
  <c r="J46" i="12"/>
  <c r="N30" i="12"/>
  <c r="J30" i="12"/>
  <c r="N45" i="12"/>
  <c r="J45" i="12"/>
  <c r="N29" i="12"/>
  <c r="J29" i="12"/>
  <c r="N44" i="12"/>
  <c r="J44" i="12"/>
  <c r="N28" i="12"/>
  <c r="J28" i="12"/>
  <c r="N27" i="12"/>
  <c r="J27" i="12"/>
  <c r="N43" i="12"/>
  <c r="J43" i="12"/>
  <c r="N42" i="12"/>
  <c r="J42" i="12"/>
  <c r="N26" i="12"/>
  <c r="J26" i="12"/>
  <c r="N25" i="12"/>
  <c r="J25" i="12"/>
  <c r="N12" i="12"/>
  <c r="J12" i="12"/>
  <c r="N41" i="12"/>
  <c r="J41" i="12"/>
  <c r="N11" i="12"/>
  <c r="J11" i="12"/>
  <c r="N8" i="12"/>
  <c r="J8" i="12"/>
  <c r="N24" i="12"/>
  <c r="J24" i="12"/>
  <c r="N17" i="12"/>
  <c r="J17" i="12"/>
  <c r="N23" i="12"/>
  <c r="J23" i="12"/>
  <c r="N40" i="12"/>
  <c r="J40" i="12"/>
  <c r="N39" i="12"/>
  <c r="J39" i="12"/>
  <c r="N16" i="12"/>
  <c r="J16" i="1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<sst xmlns="http://schemas.openxmlformats.org/spreadsheetml/2006/main" count="3579" uniqueCount="988">
  <si>
    <t>ID</t>
  </si>
  <si>
    <t>Hlavní proces</t>
  </si>
  <si>
    <t>Podproces</t>
  </si>
  <si>
    <t>Druh rizika (podle OS 18)</t>
  </si>
  <si>
    <t>Solvency II risk category</t>
  </si>
  <si>
    <t>Klíčová rizika - popis</t>
  </si>
  <si>
    <t>Vlastník rizka, Odpovedná osoba</t>
  </si>
  <si>
    <t>Odpovedná osoba provádejíci kontrolu</t>
  </si>
  <si>
    <t>Metrika</t>
  </si>
  <si>
    <t>Hodnota</t>
  </si>
  <si>
    <t>Dolní limit</t>
  </si>
  <si>
    <t>Horní limit</t>
  </si>
  <si>
    <t>Likvidace pojistných událostí</t>
  </si>
  <si>
    <t>Rezerving</t>
  </si>
  <si>
    <t>Upisovací</t>
  </si>
  <si>
    <t>Neživotní upisovací riziko</t>
  </si>
  <si>
    <t>Opoždění škod (platební schéma)</t>
  </si>
  <si>
    <t>Ředitel LPU</t>
  </si>
  <si>
    <t>Payment pattern, vyplata v % z ultimate za 2 roky</t>
  </si>
  <si>
    <t>Vývoj nových produktů</t>
  </si>
  <si>
    <t>Pricing</t>
  </si>
  <si>
    <t>Riziko pojistného</t>
  </si>
  <si>
    <t>Ředitel úseku flotil
a vývoje produktu</t>
  </si>
  <si>
    <t>Sufficiency %</t>
  </si>
  <si>
    <t>Riziko technickych rezerv</t>
  </si>
  <si>
    <t>Riziko technických rezerv</t>
  </si>
  <si>
    <t>24m celkový RunOff %</t>
  </si>
  <si>
    <t>Prodej</t>
  </si>
  <si>
    <t xml:space="preserve">Rizika přírodních pohrom </t>
  </si>
  <si>
    <t>Ředitel UW</t>
  </si>
  <si>
    <t>MŘR</t>
  </si>
  <si>
    <t>Odhadovaná hrubá škoda při vichřici</t>
  </si>
  <si>
    <t>Odhadovaná hrubá škoda při záplavě</t>
  </si>
  <si>
    <t>Odhadovaná hrubá škoda při krupobití</t>
  </si>
  <si>
    <t>Odhadovaná hrubá škoda při EQ</t>
  </si>
  <si>
    <t xml:space="preserve">Čistá škoda z rizika přírodních pohrom </t>
  </si>
  <si>
    <t>Úpis</t>
  </si>
  <si>
    <t>Riziko požáru</t>
  </si>
  <si>
    <t>Pojistná částka největší koncentrace rizika požáru</t>
  </si>
  <si>
    <t>Automobilové riziko</t>
  </si>
  <si>
    <t>Počet pojištěných vozidel s limitem &gt; 24 mil. EUR</t>
  </si>
  <si>
    <t>Počet pojištěných vozidel s limitem &lt; 24 mil. EUR</t>
  </si>
  <si>
    <t>Úvěrové a záruční riziko</t>
  </si>
  <si>
    <t>Součet dvouch najvyšších expozic</t>
  </si>
  <si>
    <t>Odpovědnostní riziko</t>
  </si>
  <si>
    <t>Suma hrubých škod z SII modelu</t>
  </si>
  <si>
    <t>Koncentrace upisovacích rizik</t>
  </si>
  <si>
    <t>Obchodní ředitel</t>
  </si>
  <si>
    <t>Nej koncentrace dle LoB</t>
  </si>
  <si>
    <t>Riziko pojistného a rezerv</t>
  </si>
  <si>
    <t>Finančný ředitel</t>
  </si>
  <si>
    <t>Riziko pojistného a rezerv dle SII</t>
  </si>
  <si>
    <t>Zdravotní upisovací riziko</t>
  </si>
  <si>
    <t>Underwriting</t>
  </si>
  <si>
    <t>Riziko hromadného úrazu</t>
  </si>
  <si>
    <t>Průměrná pojistná částka</t>
  </si>
  <si>
    <t>Počet pojištených</t>
  </si>
  <si>
    <t>Riziko pandemie</t>
  </si>
  <si>
    <t>Očekávaná průměrná výše měsíční platby</t>
  </si>
  <si>
    <t>Počet obyvatelů s krytím</t>
  </si>
  <si>
    <t>Periodicita</t>
  </si>
  <si>
    <t>Datum poslední revize</t>
  </si>
  <si>
    <t>Další revize</t>
  </si>
  <si>
    <t>Column1</t>
  </si>
  <si>
    <t>Tržní riziko</t>
  </si>
  <si>
    <t>Liquidity</t>
  </si>
  <si>
    <t>Finační ředitel</t>
  </si>
  <si>
    <t>Horizont přežití</t>
  </si>
  <si>
    <t>ročně</t>
  </si>
  <si>
    <t>Hotovost</t>
  </si>
  <si>
    <t>Riziko protistrany</t>
  </si>
  <si>
    <t>Expozice AAA</t>
  </si>
  <si>
    <t>Expozice AA</t>
  </si>
  <si>
    <t>Expozice A</t>
  </si>
  <si>
    <t>Expozice BBB</t>
  </si>
  <si>
    <t>Expozice BB</t>
  </si>
  <si>
    <t>Expozice B</t>
  </si>
  <si>
    <t>Expozice neratovaná</t>
  </si>
  <si>
    <t>FX riziko</t>
  </si>
  <si>
    <t>EUR expozice</t>
  </si>
  <si>
    <t>USD expozice</t>
  </si>
  <si>
    <t>IR risk</t>
  </si>
  <si>
    <t>Modifikovaná durace (roky) Korporátní dluhopisy</t>
  </si>
  <si>
    <t>Modifikovaná durace (roky) Státní dluhopisy</t>
  </si>
  <si>
    <t>Concentration risk</t>
  </si>
  <si>
    <t>Max Expozice vůči 1 protistraně - TV</t>
  </si>
  <si>
    <t>Max Expozice vůči 1 protistraně - Korporátní dluhopisy</t>
  </si>
  <si>
    <t>Max Expozice vůči 1 protistraně - akcie</t>
  </si>
  <si>
    <t>Celková expozice - Nemovitosti</t>
  </si>
  <si>
    <t>Celková expozice - Akcie</t>
  </si>
  <si>
    <t>Celková expozice - Korporátní dluhopisy</t>
  </si>
  <si>
    <t>Celková expozice - Státní dluhopisy</t>
  </si>
  <si>
    <t>Celková expozice - TV</t>
  </si>
  <si>
    <t>SII Ukazatele</t>
  </si>
  <si>
    <t>Equity</t>
  </si>
  <si>
    <t>Concentration</t>
  </si>
  <si>
    <t>Spread</t>
  </si>
  <si>
    <t>Property</t>
  </si>
  <si>
    <t>FX</t>
  </si>
  <si>
    <t>Úrokové riziko</t>
  </si>
  <si>
    <t>Riziko selhání protistrany</t>
  </si>
  <si>
    <t>Pohledávky</t>
  </si>
  <si>
    <t>Ředitelka Klientského centra</t>
  </si>
  <si>
    <t>suma pohledávek se splatností do 3 měsíců</t>
  </si>
  <si>
    <t>suma pohledávek se splatností více jak 3 měsíce</t>
  </si>
  <si>
    <t>Zajištení</t>
  </si>
  <si>
    <t>Finanční ředitel</t>
  </si>
  <si>
    <t>Maximální expozice vůči zajištovateli individuální zajištení</t>
  </si>
  <si>
    <t>Maximální expozice vůči zajištovateli obligatórní zajištení</t>
  </si>
  <si>
    <t>Bežné účty</t>
  </si>
  <si>
    <t>Maximální expozice vůči bance</t>
  </si>
  <si>
    <t xml:space="preserve">SII </t>
  </si>
  <si>
    <t>Štandardní formula</t>
  </si>
  <si>
    <t>Externí krádeže a podvody</t>
  </si>
  <si>
    <t>Operační</t>
  </si>
  <si>
    <t>Krádeže aktiv společnosti</t>
  </si>
  <si>
    <t>Facility manager</t>
  </si>
  <si>
    <t>Počet incindentů</t>
  </si>
  <si>
    <t>Pojistné podvody</t>
  </si>
  <si>
    <t>Reditel LPU</t>
  </si>
  <si>
    <t>Compliance officer</t>
  </si>
  <si>
    <t>% identifikovaných podvodů z celku PU</t>
  </si>
  <si>
    <t>Zneužití  identity</t>
  </si>
  <si>
    <t>IT manager</t>
  </si>
  <si>
    <t>Bezpěčnostný manažer</t>
  </si>
  <si>
    <t>Externí neoprávněný přístup</t>
  </si>
  <si>
    <t>Security manager</t>
  </si>
  <si>
    <t>Znežití dat</t>
  </si>
  <si>
    <t>finanční dopad</t>
  </si>
  <si>
    <t>Počítačové viry, hacking, phising, atď..</t>
  </si>
  <si>
    <t>BCM</t>
  </si>
  <si>
    <t>dostupnost systémů v dnech</t>
  </si>
  <si>
    <t>180 dni</t>
  </si>
  <si>
    <t>6h</t>
  </si>
  <si>
    <t>Interní krádeže a podvody</t>
  </si>
  <si>
    <t>Interní krádež</t>
  </si>
  <si>
    <t>Vlastník Procesu, manažer úseku</t>
  </si>
  <si>
    <t>Korupční chování</t>
  </si>
  <si>
    <t>Neoprávnená činnost</t>
  </si>
  <si>
    <t>Interní neoprávněný přístup</t>
  </si>
  <si>
    <t>IT/Security manager</t>
  </si>
  <si>
    <t>Narušení bezpečnosti systémů</t>
  </si>
  <si>
    <t>Personální politika a bezpečnost práce</t>
  </si>
  <si>
    <t>Pracově-právní spory</t>
  </si>
  <si>
    <t>GŘ</t>
  </si>
  <si>
    <t>HR</t>
  </si>
  <si>
    <t>Stávky</t>
  </si>
  <si>
    <t>Pokuty při porušení norem</t>
  </si>
  <si>
    <t>Kompenzace za úrazy</t>
  </si>
  <si>
    <t>Chyby při náboru zaměstanců</t>
  </si>
  <si>
    <t>Míra přijetí pracovných ponúk</t>
  </si>
  <si>
    <t>Fluktuace zaměstanců</t>
  </si>
  <si>
    <t>Qvartálni míra fluktuace</t>
  </si>
  <si>
    <t>Ročný klouzavý průmer fluktuace</t>
  </si>
  <si>
    <t>Klienti, produkty a obchod</t>
  </si>
  <si>
    <t>Nelicencovaná činnost</t>
  </si>
  <si>
    <t>Chyby produktové dokumentace</t>
  </si>
  <si>
    <t>Neusoulad s legislativou</t>
  </si>
  <si>
    <t>počet červených compliance nezhod</t>
  </si>
  <si>
    <t>Poškození hmotných aktiv</t>
  </si>
  <si>
    <t>Přírodní, průmyslové katastrofy, terrorizmus</t>
  </si>
  <si>
    <t>Facility manager/správa budovy</t>
  </si>
  <si>
    <t>Počet incindentov</t>
  </si>
  <si>
    <t>Přerušení provozu a selhání systémů</t>
  </si>
  <si>
    <t>Nemožnost přístupu do budovy centrály</t>
  </si>
  <si>
    <t>doba obnovy provozu</t>
  </si>
  <si>
    <t>2dni</t>
  </si>
  <si>
    <t>Nedostatek zamestnanců</t>
  </si>
  <si>
    <t>počet nedostupných klíčových zaměstnanců</t>
  </si>
  <si>
    <t>počet nedostupných zaměstnanců</t>
  </si>
  <si>
    <t>Selhání systémů, HW, SW, telco</t>
  </si>
  <si>
    <t>Selhání klíčového dodavatele služeb</t>
  </si>
  <si>
    <t>Dodávky, služby, procesy</t>
  </si>
  <si>
    <t>Chyby při spracování transakcí</t>
  </si>
  <si>
    <t>Chyby při jednání s dodavateli</t>
  </si>
  <si>
    <t>Finanční dopad</t>
  </si>
  <si>
    <t>Chyby monitoringu a reportingu</t>
  </si>
  <si>
    <t>Chyby ve smluvních dokumentech</t>
  </si>
  <si>
    <t>Solvency II</t>
  </si>
  <si>
    <t>počet odpovednych osob</t>
  </si>
  <si>
    <t>Katalog rizik</t>
  </si>
  <si>
    <t>Označení</t>
  </si>
  <si>
    <t>oznaceie v hlavnom katalogu</t>
  </si>
  <si>
    <t>Kategorie rizika</t>
  </si>
  <si>
    <t>Druh rizika*</t>
  </si>
  <si>
    <t>Popis rizikového faktoru</t>
  </si>
  <si>
    <t>Vlastník rizika</t>
  </si>
  <si>
    <t>Přístup k riziku**</t>
  </si>
  <si>
    <t>Způsob snížení rizika</t>
  </si>
  <si>
    <t>Pravděpodobnost rizika</t>
  </si>
  <si>
    <t>Významnost rizika</t>
  </si>
  <si>
    <t>Hodnota inherentního rizika</t>
  </si>
  <si>
    <t>Úroveň ošetření rizika</t>
  </si>
  <si>
    <t>Hodnota zbytkového rizika</t>
  </si>
  <si>
    <t xml:space="preserve">Metoda výpočtu </t>
  </si>
  <si>
    <t>Vhodnost metody</t>
  </si>
  <si>
    <t>Výpočet SCR</t>
  </si>
  <si>
    <t>Příklady rizikových indikátorů</t>
  </si>
  <si>
    <t>Signální limit (za čtvrtletí)</t>
  </si>
  <si>
    <t>R_01__</t>
  </si>
  <si>
    <t>Strategická rizika</t>
  </si>
  <si>
    <t>riziko distribuce</t>
  </si>
  <si>
    <t>Konkurenční situace
Chování klientů
Nedosažení obchodních cílů</t>
  </si>
  <si>
    <t/>
  </si>
  <si>
    <t>Vývoj obchodů dle jednotlivých distribučních kanálů; Cross Selling-Quote; podíl na trhu v %; růst nových obchodů a podílu na trhu</t>
  </si>
  <si>
    <t>R_02__</t>
  </si>
  <si>
    <t>reputační riziko</t>
  </si>
  <si>
    <t>Společenské požadavky, mediální kampaň proti finančním institucím, spokojenost klientů</t>
  </si>
  <si>
    <t>Generální ředitel</t>
  </si>
  <si>
    <t>Rychlost reakce v tisku; spokojenost klientů; stížnosti; zprávy v médiích</t>
  </si>
  <si>
    <t>R_03__</t>
  </si>
  <si>
    <t>riziko zajištění</t>
  </si>
  <si>
    <t>Nedostatečné limity zajištění pro některé pojistné smlouvy / produkty, nevhodně zvolené zajistné programy, zajištění s nadměrným vlastním vrubem, zvýšení zajistných sazeb</t>
  </si>
  <si>
    <t>Zhoršení profitability produktů, zvýšené plnění z vlastního vrubu pojistitele</t>
  </si>
  <si>
    <t>R_04__</t>
  </si>
  <si>
    <t>obchodní riziko</t>
  </si>
  <si>
    <t>Regulatorní riziko: 
neplnění regulatorních požadavků, Nedodržení hodnoty solventnosti; negativní odchylka od ročního hospodářského výsledku; nedostatečná výše vlastního kapitálu; zhoršení finančních rezerv</t>
  </si>
  <si>
    <t>Poměr vlastního kapitálu; kapitálová přiměřenost; roční výsledek;</t>
  </si>
  <si>
    <t>R_05__</t>
  </si>
  <si>
    <t>Pojistnětechnická rizika</t>
  </si>
  <si>
    <t>upisovací riziko</t>
  </si>
  <si>
    <t xml:space="preserve">Zpožděné zavedení nových tarifů:
ztráta konkurenceschopnosti </t>
  </si>
  <si>
    <t>Pravidelný monitoring trhu</t>
  </si>
  <si>
    <t>R_06__</t>
  </si>
  <si>
    <t>Příměřenost škodních rezerv:
Nedostatečná výše vytvořených technických rezerv</t>
  </si>
  <si>
    <t>Negativní výsledek testu postačitelnosti technických rezerv</t>
  </si>
  <si>
    <t>R_07__</t>
  </si>
  <si>
    <t>Velké škody:
Vývoj nákladů na léčbu
Životní očekávání - zvýšení věku dožití pacientů
Medicínský pokrok - nákladnější moderní léčba</t>
  </si>
  <si>
    <t>Člen představenstva pověřený řízením LPU</t>
  </si>
  <si>
    <t>Změna úmrtnostních tabulek
Nárůst průměrných nákladů na škodu</t>
  </si>
  <si>
    <t>R_08__</t>
  </si>
  <si>
    <t>Hrozba z nepřesného ohodnocení rizik škod:
Zvýšené plnění z důvodu nedostatečného underwritingu</t>
  </si>
  <si>
    <t>Produktový manager</t>
  </si>
  <si>
    <t>Zvýšený výskyt škod v prvních letech trvání pojištění</t>
  </si>
  <si>
    <t>R_09__</t>
  </si>
  <si>
    <t>Nákladové přirážky:
Vysoké combinated ratio
Vyšší nákladovost ve srovnání se srovnatelnou konkurencí</t>
  </si>
  <si>
    <t>Rostoucí ukazatel nákladů Combined Ratio</t>
  </si>
  <si>
    <t>R_10__</t>
  </si>
  <si>
    <t>Kumulace škod:
Škodní kvóta přesahuje plánovanou hranici</t>
  </si>
  <si>
    <t>Analýza předpokladu vzniku škody při vzniku nového produktu</t>
  </si>
  <si>
    <t>Zhoršení škodné kvóty nad plánovanou hodnotu
Vysoká plnění z regionální katastrofické škody</t>
  </si>
  <si>
    <t>R_11__</t>
  </si>
  <si>
    <t>Zvýšené riziko škody v důsledku přírodních katastrof:
Škodní kvóta negativně ovlivněná v důsledku škod způsobených přírodními katastrofami</t>
  </si>
  <si>
    <t>Identifikace zýšené škodní kvóty u jednotlivých produktů na základě monitoringu, nebo pokles jejich ziskovosti na základě analýzy</t>
  </si>
  <si>
    <t>R_12__</t>
  </si>
  <si>
    <t>Tržní rizika</t>
  </si>
  <si>
    <t>úrokové riziko včetně riziko úrokových garancí</t>
  </si>
  <si>
    <t>Riziko změny úrokových sazeb a výnosu finančních nástrojů</t>
  </si>
  <si>
    <t>Velikost úrokového VaR; durace; BPV</t>
  </si>
  <si>
    <t>R_13__</t>
  </si>
  <si>
    <t>měnové riziko</t>
  </si>
  <si>
    <t>Expozice v cizí měně; výkyvy kurzů cizích měn; měnový kurz</t>
  </si>
  <si>
    <t xml:space="preserve">Změna tržní hodnoty cizí měny; velikost měnového VaR; </t>
  </si>
  <si>
    <t>R_14__</t>
  </si>
  <si>
    <t>akciové riziko</t>
  </si>
  <si>
    <t>Riziko změny akciových kurzů, hodnoty akcivých investic a majetkových účastí</t>
  </si>
  <si>
    <t>x</t>
  </si>
  <si>
    <t>Změna akciového kurzu, kvalita ocenění majetkových účastí</t>
  </si>
  <si>
    <t>R_15__</t>
  </si>
  <si>
    <t>nemovitostní riziko</t>
  </si>
  <si>
    <t>Riziko změny hodnoty investic do nemovitostí</t>
  </si>
  <si>
    <t>Změna ocenění nemovitostního portfolia, kvalita ocenění, vývoj realitního trhu</t>
  </si>
  <si>
    <t>R_16__</t>
  </si>
  <si>
    <t>Riziko koncentrace</t>
  </si>
  <si>
    <t>riziko koncentrace</t>
  </si>
  <si>
    <t>Nadměrná angažovanost vůči jednomu subjektu či malé skupině subjektů</t>
  </si>
  <si>
    <t>Zvýšené procento angažovanosti u některých klientů na základě analýzy</t>
  </si>
  <si>
    <t>R_17__</t>
  </si>
  <si>
    <t>Rizika likvidity</t>
  </si>
  <si>
    <t>riziko likvidity (funding liquidity)</t>
  </si>
  <si>
    <t>Riziko platební neschopnosti:
nedostatečné volné finanční prostředky pro výplaty pojistných plnění či jiných splatných závazků</t>
  </si>
  <si>
    <t>Likvidní gapy / využití likvidity; potřeba likvidity; 
Zvýšený výskyt výplat odkupného a dílčího odkupného
Zvýšené odtoky mimořádného pojistného</t>
  </si>
  <si>
    <t>R_18__</t>
  </si>
  <si>
    <t>riziko třžní likvidity (market liquidity)</t>
  </si>
  <si>
    <t xml:space="preserve">Ztráta vlivem nemožnosti prodat finanční nástroj, či pouze za poklesu ceny z důvodu prodeje či vysokého prodejního rozpětí. </t>
  </si>
  <si>
    <t>Zvýšená potřeba likvidity; plošné katastrofy</t>
  </si>
  <si>
    <t>R_19__</t>
  </si>
  <si>
    <t>Kreditní rizika</t>
  </si>
  <si>
    <t>riziko neplacení pojistného</t>
  </si>
  <si>
    <t>Riziko neplacení pojistného</t>
  </si>
  <si>
    <t>Míra selhání, pravděpodobnost selhání; podíl tvorby OP a odpisů</t>
  </si>
  <si>
    <t>R_20__</t>
  </si>
  <si>
    <t>riziko neplacení pohledávek fin. umístění</t>
  </si>
  <si>
    <t>Riziko zhoršení bonity v oblasti finančního umístění/úvěrové selhání dlužníka:
bonita portfolia; bonita dlužníka; insolvenční řízení; rating protistrany; zhoršení finanční situace protistrany; nárůst kreditního rozpětí u finančních nástrojů</t>
  </si>
  <si>
    <t>Ratingová struktura fin. umístění; pravděpodobnost selhání; struktura splatností fin. umístění</t>
  </si>
  <si>
    <t>R_21__</t>
  </si>
  <si>
    <t>u zajištoven a dalších subjektů obchodního styku</t>
  </si>
  <si>
    <t>Riziko nedodržení závazků ze strany zajistitele</t>
  </si>
  <si>
    <t>Změna ratingu zajistitele, solventnostní ukazatele zajistitelů</t>
  </si>
  <si>
    <t>R_22__</t>
  </si>
  <si>
    <t>Řízení aktiv a pasiv</t>
  </si>
  <si>
    <t>ALM riziko</t>
  </si>
  <si>
    <t>Neadekvátní struktura aktiv vzhledem k pasivům pojišťovny z hlediska časové struktury, výnosnosti, rizika a struktury portfolia</t>
  </si>
  <si>
    <t>Struktura aktiv vůči pasivům - peněžní toky, úroková citlivost (durace, BPV), technická úroková míra (TÚM) vs. výnosnost aktiv</t>
  </si>
  <si>
    <t>R_23__</t>
  </si>
  <si>
    <t>Operační rizika</t>
  </si>
  <si>
    <t>compliance riziko</t>
  </si>
  <si>
    <t xml:space="preserve">Rizika spojená s outsourcingem:
Porušení regulatorních předpisů, nedodržení stanovených postupů, neefektivní a chybné zajišťování poskytovaných činností, nezajištění nouzových plánů v případě výpadku poskytovatele outsourcingu  </t>
  </si>
  <si>
    <t>Porušení smluvních ujednání nebo pracovních předpisů
Existenční problémy outsourcingové agentury</t>
  </si>
  <si>
    <t>R_24__</t>
  </si>
  <si>
    <t>Rizika spojená s aktuálností vnitřních předpisů k ŘKS včetně vyhodnocování:
nevčasná aktualizace vnitřních předpisů, neprovádění vyhodnocování ŘKS</t>
  </si>
  <si>
    <t xml:space="preserve">Včasnost a míra plnění opatření z kontrolní činnosti na 1., 2. a 3. stupni </t>
  </si>
  <si>
    <t>R_25__</t>
  </si>
  <si>
    <t>personální riziko</t>
  </si>
  <si>
    <t>Vnitřní krádež a podvod:
Nízký morální kredit, nevymahatelnost pohledávek, finanční ztráta</t>
  </si>
  <si>
    <t>Vedoucí provozu</t>
  </si>
  <si>
    <t>Opravné položky (odpisy), četnost trestních oznámení, stížnosti</t>
  </si>
  <si>
    <t>R_26__</t>
  </si>
  <si>
    <t>Fluktuace pracovníků - nárazové přetížení, nedostatek vybraných či klíčových pracovníků:
přiměřené pracovní pokyny; atraktivita zaměstnání; kvantitativně a kvalitativně dostatečné kapacity pracovníků; řízení zástupů; motivační pracovní podmínky; pracovní prostředí; přetížení; spokojenost zaměstnanců; výpovědi</t>
  </si>
  <si>
    <t>HR manager</t>
  </si>
  <si>
    <t xml:space="preserve">Odchylky v personální statistice,  nízká kvóta motivovanosti, nízký výkon. Nastavení obchodních plánů či očekávání mimořádných akcí </t>
  </si>
  <si>
    <t>R_27__</t>
  </si>
  <si>
    <t>Bezpečnost pracovního prostředí</t>
  </si>
  <si>
    <t>Korporátní manager</t>
  </si>
  <si>
    <t>Počet pracovních úrazů či zjištění při kontrole</t>
  </si>
  <si>
    <t>R_28__</t>
  </si>
  <si>
    <t>Výplata nadhodnocené nebo fiktivní provize, chybné zadání údajů pojistných smluv do systému (včetně provizí, zelených karet apod.)</t>
  </si>
  <si>
    <t>Finanční ztráta
Nárůst zákaznických stížností</t>
  </si>
  <si>
    <t>R_29__</t>
  </si>
  <si>
    <t>Přehlédnutí oprávněnosti vykazovaných bodů pro LPU zdraví</t>
  </si>
  <si>
    <t>nadhodnocení výplaty PU</t>
  </si>
  <si>
    <t>R_30__</t>
  </si>
  <si>
    <t>systémové riziko</t>
  </si>
  <si>
    <t>Výpadek výpočetní techniky:
nespokojenost zákazníků, nedostání závazkům, stížnosti</t>
  </si>
  <si>
    <t>Zvýšený počet incindentů
Nárůst zákaznických stížností</t>
  </si>
  <si>
    <t>R_31__</t>
  </si>
  <si>
    <t>Výpadek telefonního centra:
nespokojenost zákazníků, nedostání závazkům, stížnosti</t>
  </si>
  <si>
    <t>R_32__</t>
  </si>
  <si>
    <t>Ztráta integrity systémů, dat a informací:
nekoncepčnost rozvoje IT</t>
  </si>
  <si>
    <t>Výrazný nárůst provozovaných systémů a nákladů na ně</t>
  </si>
  <si>
    <t>R_33__</t>
  </si>
  <si>
    <t>Ztráta autentičnosti informací a dat:
snaha o zakrytí manipulace s daty</t>
  </si>
  <si>
    <t>Zvýšení případů úniků informací
Nárůst stížností zákazníků</t>
  </si>
  <si>
    <t>R_34__</t>
  </si>
  <si>
    <t>Ztráta důvěryhodnosti informací a dat:
nedůvěryhodnost dat</t>
  </si>
  <si>
    <t>Počet chyb v produkci a jejich závažnost</t>
  </si>
  <si>
    <t>R_35__</t>
  </si>
  <si>
    <t>vnější události</t>
  </si>
  <si>
    <t>Ohrožení bezpečnostních systémů - infrastruktura:
pokus o prolomení IT zabezpečení; přetížení systému; přítomnost viru</t>
  </si>
  <si>
    <t>Počet zjištěných případů</t>
  </si>
  <si>
    <t>R_36__</t>
  </si>
  <si>
    <t>Vnější podvod (případy praní špinavých peněz, úvěrový/pojistný podvod):
Poskytnutí nepravdivých údajů klientů, praní špinavých peněz na pokladně, padělaná platidla, nefunkční kontrolní mechanismy</t>
  </si>
  <si>
    <t>Počet incidentů, připomínky ČNB, stížnosti</t>
  </si>
  <si>
    <t>R_37__</t>
  </si>
  <si>
    <t>Přírodní katastrofy a jiné (pojistné) události:
vyšší moc</t>
  </si>
  <si>
    <t>Korporántí manager</t>
  </si>
  <si>
    <t>Nárůst četnosti pojistných událostí spojených s těmito riziky</t>
  </si>
  <si>
    <t>R_38__</t>
  </si>
  <si>
    <t>Ohrožení bezpečnostních systémů - obchod:
zneužití informací zasílaných emaily</t>
  </si>
  <si>
    <t>Zvýšený počet incidentů</t>
  </si>
  <si>
    <t>R_39__</t>
  </si>
  <si>
    <t>procesní riziko</t>
  </si>
  <si>
    <t>Pozdní doručování podkladů - uzavřených smluv do pojišťovny</t>
  </si>
  <si>
    <t>Nedodržení zákonné povinnosti, stížnosti klientů</t>
  </si>
  <si>
    <t>R_40__</t>
  </si>
  <si>
    <t>Nepřípustné obchodní nebo tržní praktiky:
sjednávání smluv za účelem pojistného podvodu/ pojistné plnění</t>
  </si>
  <si>
    <t>Stížnosti, odliv produkce ke konkurenci, pozdě doručené smlouvy, poměr stornovaných smluv</t>
  </si>
  <si>
    <t>R_41__</t>
  </si>
  <si>
    <t>Kvalita poradenství:
nedostatek informací, aktuálnost metodiky, aktivity v rozvoji a školení, vliv akcí - tlak na termíny; neplnění obchodních cílů, zvýšená chybovost</t>
  </si>
  <si>
    <t>Statistiky chybovosti, stornovosti, stížnosti klientů či poradců</t>
  </si>
  <si>
    <t>R_42__</t>
  </si>
  <si>
    <t>Porušení pravomoci:
porušení odpovědností, porušení podpisového a pracovního řádu, Porušení zákonných předpisů; chybějící kontroly ŘKS; neadekvátní ŘKS úseků; porušení ŘKS</t>
  </si>
  <si>
    <t>Počet incidentů</t>
  </si>
  <si>
    <t>R_43__</t>
  </si>
  <si>
    <t>Koncepce produktu a pricing:
Porušení zákonných předpisů, interních směrnic a limitů, nedodržení interních pokynů</t>
  </si>
  <si>
    <t>Aktuální smluvní podmínky, ukazatele profitability jednotlivých produktů</t>
  </si>
  <si>
    <t>R_44__</t>
  </si>
  <si>
    <t>Plánování a očekávání:
Chybné zpracování nebo v rozporu s postupy; neefektivnost ve zpracování; nedostatečná kvalita pracovních výsledků; Porušení zákonných předpisů; plýtvání zdroji (Personální náklady/věcné náklady)</t>
  </si>
  <si>
    <t xml:space="preserve">Vysoká četnost opakování procesů; vysoké vázání personálu (relativně k velikosti oddělení); 
</t>
  </si>
  <si>
    <t>R_45__</t>
  </si>
  <si>
    <t>Dodavatelská struktura:
chybějící strategie vůči dodavatelům; nedostatečná komunikace; nekomplexní přijímání opatření; špatný výběr dodavatelů</t>
  </si>
  <si>
    <t>Pokles počtu partnerství v dodavatelské síti; počet porušení</t>
  </si>
  <si>
    <t>R_46__</t>
  </si>
  <si>
    <t>Nekalé jednání:
Zjištění při roční uzávěrce / audit / další externí audity; podvod</t>
  </si>
  <si>
    <t>Počet nálezů IA; počet zjištěných případů</t>
  </si>
  <si>
    <t>R_47__</t>
  </si>
  <si>
    <t>Porušení ochrany dat:
Chybné zpracování nebo v rozporu s postupy; Porušení zákonných předpisů; možnost manipulace/podvodu</t>
  </si>
  <si>
    <t>Stížnosti klientů; výzvy ČNB, ÚOOÚ</t>
  </si>
  <si>
    <t>Hodnocení rizik</t>
  </si>
  <si>
    <t>Organizace</t>
  </si>
  <si>
    <t>Slavia pojištovna</t>
  </si>
  <si>
    <t>nová rizika</t>
  </si>
  <si>
    <t>Období</t>
  </si>
  <si>
    <t>zrušená rizika</t>
  </si>
  <si>
    <t>P.č.</t>
  </si>
  <si>
    <t>S -strategické
O - operační
riziko</t>
  </si>
  <si>
    <t>Pořadové číslo rizika</t>
  </si>
  <si>
    <t>Hodnocení hrubého rizika</t>
  </si>
  <si>
    <t>Skóre hrubého rizika</t>
  </si>
  <si>
    <t>Existující zmírňující kontroly/opatření</t>
  </si>
  <si>
    <t>Hodnocení čistého rizika</t>
  </si>
  <si>
    <t>Skóre čistého rizika</t>
  </si>
  <si>
    <t>Pořadí</t>
  </si>
  <si>
    <t>Opatrení ke zmírnění rizika</t>
  </si>
  <si>
    <t>Termín realizace</t>
  </si>
  <si>
    <t>Odpovědnost</t>
  </si>
  <si>
    <t>Poznámka</t>
  </si>
  <si>
    <t>Dopad/Význam</t>
  </si>
  <si>
    <t>Pravděpodobnost</t>
  </si>
  <si>
    <t>Občanské pojištění</t>
  </si>
  <si>
    <t>Obchodní</t>
  </si>
  <si>
    <t>S</t>
  </si>
  <si>
    <t>Pro-R02</t>
  </si>
  <si>
    <t>Malý zájem významných prodejních sítí o spolupráci s pojišťovnou</t>
  </si>
  <si>
    <t>Průběžné jednání s významnými partnery</t>
  </si>
  <si>
    <t>Korporátní záležitosti</t>
  </si>
  <si>
    <t>Dodržování legislativy a regulačních požadavků</t>
  </si>
  <si>
    <t>Regulační/letislativní riziko</t>
  </si>
  <si>
    <t>O</t>
  </si>
  <si>
    <t>Krz-R03</t>
  </si>
  <si>
    <t>Porušení obecných nebo specifických právních předpisů</t>
  </si>
  <si>
    <t>Upozorňování na změny v právních předpisech
Konzultace s externím právníkem 
Monitoring legislativy ČR a EU</t>
  </si>
  <si>
    <t>Právník</t>
  </si>
  <si>
    <t>Ochrana osobních údajů</t>
  </si>
  <si>
    <t>Krz-R06</t>
  </si>
  <si>
    <t>Porušení zákona na ochranu osobních údajů</t>
  </si>
  <si>
    <t>Směrnice pro ochranu osobních údajů, 
Směrnice -instrukce - pro každodenní kontrolu společných prostor
Kontrola GŘ a Příkaz GŘ
interní audit</t>
  </si>
  <si>
    <t>Pro-R03</t>
  </si>
  <si>
    <t>Příliš vysoká koncentrace na jeden prodejní kanál/subjekt</t>
  </si>
  <si>
    <t>Rozširování distrubuční  sítě o nové možnosti a partnery
Posílení vlastní distribuční sítě a zvýšení její váhy.</t>
  </si>
  <si>
    <t>IT</t>
  </si>
  <si>
    <t>Obecné počítačové kontroly (provoz a údržba)</t>
  </si>
  <si>
    <t>IT/IS</t>
  </si>
  <si>
    <t>Itc-R01</t>
  </si>
  <si>
    <t>Výpadek systému nebo poškození serverů</t>
  </si>
  <si>
    <t>Zálohování systému mimo budovu, 
zajištění externí IT firmou
Archivace klíčových dokumentů na průmyslu v tištěné formě.
Garantovaná obnova provozu systému externí firmou
Offline sjednávání v Aladinu případně průpisné PS u vybraných produktů</t>
  </si>
  <si>
    <t>Vedoucí IT</t>
  </si>
  <si>
    <t>Transakce, dodávky, procesní řízení</t>
  </si>
  <si>
    <t>Krz-R05</t>
  </si>
  <si>
    <t>Promlčení práva - pohledávek z pojištění</t>
  </si>
  <si>
    <t xml:space="preserve">Pohledávková komise - reviduje případy pohledávek
Sledování nevymožených pohledávek
</t>
  </si>
  <si>
    <t>Vnp-R03</t>
  </si>
  <si>
    <t>Nekonkorucenschopné ceny produktů</t>
  </si>
  <si>
    <t xml:space="preserve">Pravidelné vyhodnocování zpětné vazby od partnera
Pravidelné analýzy produktů a jejich provizí u konkurence
Velké roční analýzy produktů a provizních sazeb konkurence
</t>
  </si>
  <si>
    <t>Inovační komise/produktový manažer/Ředitel UW</t>
  </si>
  <si>
    <t>Lidské zdroje</t>
  </si>
  <si>
    <t>Nábor a výběr zaměstnanců</t>
  </si>
  <si>
    <t>Personální</t>
  </si>
  <si>
    <t>Lzd-R04</t>
  </si>
  <si>
    <t>Zneužití pravomoci (zcizení tržby, pojistného kmene, zneužití obchodních informací)</t>
  </si>
  <si>
    <t>Kontrolní mechanismy
Schvalovací systém
Personální politika</t>
  </si>
  <si>
    <t>Zajištění</t>
  </si>
  <si>
    <t>Zaj-R01</t>
  </si>
  <si>
    <t>Nabídka/smlouva je uzavřena v rozporu s interními předpisy - vybrání partnerů s nižším ratingem než A-</t>
  </si>
  <si>
    <t>Dodatečné vyžádání souhlasu představenstva.
Čtyřstupňová kontrola, undervriwter, risk manažer, ředitele divize, referenta zajištění</t>
  </si>
  <si>
    <t>Ředitel UW / Ředitel UW</t>
  </si>
  <si>
    <t>Vnější podvod/vnitřní podvod</t>
  </si>
  <si>
    <t>Lpu-R06</t>
  </si>
  <si>
    <t>Pojistný podvod</t>
  </si>
  <si>
    <t>Zřízení teamu na pojistné podvody,
Revize případů vedoucím, 
využívání internetových aplikací k prověření historie vozidel, 
aplikace pro stáří vozidla, 
vnitřní postupy pojišťovny, 
identiikace podvodníků, 
blokace při vstupu.
Externí a interní audit</t>
  </si>
  <si>
    <t>Vedoucí likvidace</t>
  </si>
  <si>
    <t>Řízení pojistných rizik</t>
  </si>
  <si>
    <t>Pojistně matematické riziko</t>
  </si>
  <si>
    <t>Pri-R01</t>
  </si>
  <si>
    <t>Porušení vnitřních směrnic pro řiízení pojistných rizik</t>
  </si>
  <si>
    <t>Dvoustupnňové projednání rizika:
- při poptávce - v představenstvu
- při úpisu - ověření, zda bylo projednáno v rizikové komisi
_ Vícenásobná kontrola:
- underwriter
- risk mananažer
- zajistitel</t>
  </si>
  <si>
    <t>Pri-R02</t>
  </si>
  <si>
    <t>Vysoká koncentrace na jeden nebo několik málo produktů pojistého rizika</t>
  </si>
  <si>
    <t>Monitoring
Vícenásobná kontrola
Dvoustupňové projednání rizika</t>
  </si>
  <si>
    <t>Obchodní ředitel / Ředitel UW</t>
  </si>
  <si>
    <t>Pojištění průmyslu</t>
  </si>
  <si>
    <t>Pro-R06</t>
  </si>
  <si>
    <t>Chyby při sjednání nebo vyhotovení pojistné smlouvy (opomenutí nebo nekompatibilita výluk v zajistné smlouvě, špatné údaje, nezadání limitů apod.)</t>
  </si>
  <si>
    <t>Zaškolení UW a jejich pravidelné proškolování
Kontrola pojistných smluv na úseku UW prováděná oběma osobami podepisujícími pojistnou smlouvu a následná kontrola úsekem taxace
limitace katastrofickýchz rizik ve smlouvách
Případy procházejí přes ředitele a RM
Konzultace se zajistitelem
Kontrola procesů interním a externím auditem</t>
  </si>
  <si>
    <t>Lpu-R02</t>
  </si>
  <si>
    <t>Pojistný podvod při uzavírání PS cizinců - nedodání PS, neexistence PS</t>
  </si>
  <si>
    <t>Evidence vydaných PS makléřům,
Vracení nespotřebovaných formulářů
Roční inventura tiskopisů
Vyšší podíl elektronicky sjednyných smluv</t>
  </si>
  <si>
    <t xml:space="preserve">Manager Zdraví </t>
  </si>
  <si>
    <t>Lzd-R02</t>
  </si>
  <si>
    <t>Nedostupnost klíčových zaměstnanců</t>
  </si>
  <si>
    <t>Personální politika
Zastupitelnost
Řízení výkonu, přesunutí kompetencí</t>
  </si>
  <si>
    <t>Marketing</t>
  </si>
  <si>
    <t>Marketingové</t>
  </si>
  <si>
    <t>Mkt-R01</t>
  </si>
  <si>
    <t>Neefektivní řízení marketingových kampaní</t>
  </si>
  <si>
    <t xml:space="preserve">Plánování 
Cenová srovnání a výběrová řízení
Kontrola kvality
Kontrola přes tržby
Marketingové průzkumy (trhu)
</t>
  </si>
  <si>
    <t>Obchodní ředitel/marketingový manažer</t>
  </si>
  <si>
    <t>Pro-R01</t>
  </si>
  <si>
    <t>Sestava zpoždění při předávání PS na POV
Pokuty od ČKP za pozdní nahlášení přeneseny na makléře
Elektronické sjednání smluv</t>
  </si>
  <si>
    <t>Pro-R05</t>
  </si>
  <si>
    <t>Pozdní předložení nabídky nebo vyhotvení pojistné smlouvy</t>
  </si>
  <si>
    <t xml:space="preserve">Přijetí dalšího pracovníka
Sledování EOP - evidence obchodních případů, provádí ředitel divize a manažeři UW a zajištění a autopojištění
</t>
  </si>
  <si>
    <t>Provoz-pořízení smluv a správa taxace</t>
  </si>
  <si>
    <t>Tax-R01</t>
  </si>
  <si>
    <t>Nespokojenost zákazníků se správou pojistných smluv včetně nedůsledného řešení stížností klientů (např. chybné nebo duplicitní rozesílání avíz, upomínek, zelených karet apod.)</t>
  </si>
  <si>
    <t xml:space="preserve">Informační systémy - Veris, MIS
Směrnice pro taxaci a provoz
Externí firma, která rozesílá komunikaci
Kontrolní sestavy POV
Kontrolní sestava nespárované banky
Seznam VIP klientů
Výroční emaily, sms upomínky, emailová komunikace, elektronické předupomínky
</t>
  </si>
  <si>
    <t>Komunikace s klienty</t>
  </si>
  <si>
    <t>Selhání lidského faktoru</t>
  </si>
  <si>
    <t>Tax-R04</t>
  </si>
  <si>
    <t>Ztráta klienta</t>
  </si>
  <si>
    <t>Orientační náslechy rozhovorů s klienty
Školení zaměstnanců v oblasti komunikace a znalostí z jednotlivých divizí
Pravidelné porady CPK</t>
  </si>
  <si>
    <t>Manažer CPK</t>
  </si>
  <si>
    <t>Lpu-R04</t>
  </si>
  <si>
    <t>Neopodstatněnost výplaty pojistného plnění POV</t>
  </si>
  <si>
    <t>Posuzování profesních kvalit likvidátora při jeho příjmu,
Revize případů vedoucím a kontrola 4 očí před ukončením LPU</t>
  </si>
  <si>
    <t>Finance</t>
  </si>
  <si>
    <t>Řízení likvidity</t>
  </si>
  <si>
    <t>Úvěrové riziko</t>
  </si>
  <si>
    <t>Fin-R02</t>
  </si>
  <si>
    <t>Riziko nesplacení dluhových cenných papírů</t>
  </si>
  <si>
    <t xml:space="preserve">Monitoring situace na trhu a finanční situace emitentů
Analýza finančních rizik souvisejících s finančním umístěním formálně projednána na Představenstvu </t>
  </si>
  <si>
    <t>Fin-R03</t>
  </si>
  <si>
    <t xml:space="preserve">Chybně zaúčtovaná transakce, platba, nezrevidovaný účet, </t>
  </si>
  <si>
    <t>kontrolní mechanismus interní s každou platbou</t>
  </si>
  <si>
    <t>Pořízení, vývoj, změny systémů</t>
  </si>
  <si>
    <t>Itc-R02</t>
  </si>
  <si>
    <t>Chyby v provozním systému</t>
  </si>
  <si>
    <t>Průběžná kontrola uživateli,
evidence chyb HelpDesk, Mantis</t>
  </si>
  <si>
    <t>Řízení výkonu</t>
  </si>
  <si>
    <t>Lzd-R01</t>
  </si>
  <si>
    <t>Nedostatečná zastupitelnost a kumulace funkcí jednotlivých pracovníků</t>
  </si>
  <si>
    <t>Ředitelé divizí</t>
  </si>
  <si>
    <t>Lzd-R03</t>
  </si>
  <si>
    <t>Vysoká fluktuace zaměstnanců</t>
  </si>
  <si>
    <t xml:space="preserve">Personální politika
Motivační faktory
</t>
  </si>
  <si>
    <t>Tax-R03</t>
  </si>
  <si>
    <t>Zneužití osobních údajů klienta,  pojistný podvod</t>
  </si>
  <si>
    <t>Výpis z trestního rejstříku při příjmu nového zaměstnance
Orientační náslechy rozhovorů s klienty
Po zavedení CRM bude přehledná komunikace s klienty, možnost kontroly elektronické komunikace, znemožnění hromadného stahování informací z kmene.</t>
  </si>
  <si>
    <t>Itc-R03</t>
  </si>
  <si>
    <t>Nedostatečné testování nově naprogramované úpravy provozního systému</t>
  </si>
  <si>
    <t>Akceptační protokoly - testování dodavatelem i zadavatelem
Nové testovací prostředí.</t>
  </si>
  <si>
    <t>Vnp-R01</t>
  </si>
  <si>
    <t>Zpoždění při přípravě produktů včetně definice</t>
  </si>
  <si>
    <t>Marketingové průzkumy
Analýza trhu
Definovaný proces vývoje nového produktu</t>
  </si>
  <si>
    <t>Obchodní ředitel/Inovační komise/produktový manažer</t>
  </si>
  <si>
    <t>Vnp-R02</t>
  </si>
  <si>
    <t>Nedodržení postupů při vývoji nových produktů (včetně špatného ohodnocení pojistného rizika, ztráty zajímavosti pro klienty nebo prodejce, apod.)</t>
  </si>
  <si>
    <t xml:space="preserve">Marketingové průzkumy
Analýza trhu
Definovaný proces vývoje nového produktu
Průběžně konzultace při vývoji produktu
Zaměření motivačního programu na krycí příspěvek
Inovační komise
Měsíční reporting - škodní poměr u jednotlivých produktů 
Sledování vazby mezi zaslouženým pojistným, vyplaceným plněním a rezervami na pojistné plnění (RBNS a IBNR).
</t>
  </si>
  <si>
    <t>Inovační komise/produktový manažer</t>
  </si>
  <si>
    <t>Lpu-R05</t>
  </si>
  <si>
    <t>Nedostatek finančních prostředků pro výplatu pojistného plnění z důvodu neaktuálního stavu rezervy na PP</t>
  </si>
  <si>
    <t>Pravidelná kontrola rezerv,
Revize spisů teamleaderem</t>
  </si>
  <si>
    <t>Reporting a kontrolling</t>
  </si>
  <si>
    <t>Fin-R04</t>
  </si>
  <si>
    <t>Chybné nastavení provizí, Chybně sepsaná smlouva, Chybná transakce, chybně nastavené parametry v provozním systému, opomenutí, smluvně vypovězený partner stále v systému,</t>
  </si>
  <si>
    <t>zdokonalující funkcionality a kontroly systému Veris
Pravidelné rekonciliace a posílení operačního týmu
Schvalovací proces před výplatou provizí.</t>
  </si>
  <si>
    <t>Počítačová bezpečnost</t>
  </si>
  <si>
    <t>Itc-R04</t>
  </si>
  <si>
    <t>Neoprávněný přístup k datům a jejich zneužití</t>
  </si>
  <si>
    <t>Bezpečnostní politika, nastavení přístupových práv uživatelům, přístupy do servrovny, nemožnost instalace soukromých programů na lokální disk</t>
  </si>
  <si>
    <t>Podvod</t>
  </si>
  <si>
    <t>Tax-R02</t>
  </si>
  <si>
    <t>Výplata nadhodnocené nebo fiktivní provize</t>
  </si>
  <si>
    <t>Interní směrnice (Prodej produktu, Ekonomika, kontrolling, nákup)</t>
  </si>
  <si>
    <t>Tax-R05</t>
  </si>
  <si>
    <t xml:space="preserve">Chybné zadání údajů pojistných smluv do systému (včetně provizí, zelených karatet apod.) </t>
  </si>
  <si>
    <t xml:space="preserve">Vizuální zobrazení dat - % na obrazovce při zadávání.
Prověrka sestavy provizí zpracovaná měsíčně.
</t>
  </si>
  <si>
    <t>Správa a údržba rezerv</t>
  </si>
  <si>
    <t>Krz-R04</t>
  </si>
  <si>
    <t>Pochybení při stanovení rezervy na pojistné plnění (v případě pasivních soudních sporů)</t>
  </si>
  <si>
    <t xml:space="preserve">Externí právní audit
Interní audit,
</t>
  </si>
  <si>
    <t>Pro-R04</t>
  </si>
  <si>
    <t>Falešné pojistné smlouvy u cizinců</t>
  </si>
  <si>
    <t xml:space="preserve">Používání bezpečných formulářů - číslované karty
Lobbying změna zákona - zpřísnění podmínek
Zabezpečení pojistek ze zprostředkovatelského on-line systému - rušení průpisových smluv
</t>
  </si>
  <si>
    <t>Lpu-R03</t>
  </si>
  <si>
    <t>Finanční ztráta z důvodu metodicky chybného výpočtu výplat pojistných událostí</t>
  </si>
  <si>
    <t>Revize případů vedoucím, 
využívání internetových aplikací k prověření historie vozidel</t>
  </si>
  <si>
    <t>Finanční řízení aktiv</t>
  </si>
  <si>
    <t>Fin-R01</t>
  </si>
  <si>
    <t>Ztráty v důsledku výrazných změn vývoje na finančních trzích</t>
  </si>
  <si>
    <t>Monitoring
Spolupráce s poradenskou firmou
Nízká expozice.</t>
  </si>
  <si>
    <t>Společnost nemá akcie, dluhopisy do splatnosti</t>
  </si>
  <si>
    <t>Nákup</t>
  </si>
  <si>
    <t>Fin-R06</t>
  </si>
  <si>
    <t>Neefektivní nákup výrobků a služeb</t>
  </si>
  <si>
    <t>Pro rutinní nákupy jsou určení dodavatele
Nestandardní nákupy - výběrové řízení.
Stanované limity pro schvalování nákupu
Vymezení nákupního procesu ve vnitřní směrnici
Rozpočty nákladů
Kontrola interním auditem
Schvalování vešekerých nákupů FŘ</t>
  </si>
  <si>
    <t>Lpu-R01</t>
  </si>
  <si>
    <t>Přehlédnutí oprávněnosti vykazovaných bodů</t>
  </si>
  <si>
    <t>Pravidelná kontrola na více úrovních,
Podklady z originálních dokladů
Kontrola všech PU revizní sestrou</t>
  </si>
  <si>
    <t>Manager Zdraví</t>
  </si>
  <si>
    <t>Fiskální riziko</t>
  </si>
  <si>
    <t>Fin-R05</t>
  </si>
  <si>
    <t>Nezaznamenání změn daňových zákonů</t>
  </si>
  <si>
    <t>Monitorování legislativních změn
Účast na školeních pro hlavní účetní</t>
  </si>
  <si>
    <t>Dodržování vnitřních předpisů včetně etiky</t>
  </si>
  <si>
    <t>Krz-R01</t>
  </si>
  <si>
    <t>Nedostatky v přípravě a uplatňování smluv (právní vady, nedodržení lhůt v procesním řízení, promlčení práva)</t>
  </si>
  <si>
    <t xml:space="preserve">Interní audit
</t>
  </si>
  <si>
    <t>Krz-R02</t>
  </si>
  <si>
    <t>Upozorňování na změny v právních předpisech
Konzultace s účetním auditorem nebo interním právníkem
Monitoring legislativy ČNB a daňové
Revidování smluv</t>
  </si>
  <si>
    <t>Korporátní manažer</t>
  </si>
  <si>
    <t>Počet rizik</t>
  </si>
  <si>
    <t>Rozširování distrubuční  sítě o nové možnosti a partnery</t>
  </si>
  <si>
    <t>Vnp-R04</t>
  </si>
  <si>
    <t>Inovační komise/produktový manažer/manažer UW a zajištění</t>
  </si>
  <si>
    <t>Nabídka/smlouva je uzavřena v rozporu s interními předpisy.</t>
  </si>
  <si>
    <t>Dodatečné vyžádání souhlasu zajistitele nebo úprava PS formou dodatku
Čtyřstupňová kontrola, undervriwter, risk manažer, ředitele divize, referenta zajištění</t>
  </si>
  <si>
    <t>Obchodní ředitel / Manažer UW</t>
  </si>
  <si>
    <t>Monitoring
Spolupráce s poradenskou firmou</t>
  </si>
  <si>
    <t>kontrolní mechanismus interní s každou platbu</t>
  </si>
  <si>
    <t>Zálohování systému mimo budovu, 
zajištění externí IT firmou
Archivace klíčových dokumentů na průmyslu v tištěné formě.
Garantovaná obnova provozu systému externí firmou</t>
  </si>
  <si>
    <t>Opomenutí začlenění oblastí RM (adresy, LPP, zabezpečení apod.) v nově vytvářených produktech B2B a B2C</t>
  </si>
  <si>
    <t>V rámci B2B a B2C všechny změny musí být schváleny RM a produktovým manažerem</t>
  </si>
  <si>
    <t>Obchodní ředitel/Inovační komise/produktový manažer/risk manažer</t>
  </si>
  <si>
    <t>Zaškolení UW a jejich pravidelné proškolování
Kontrola pojistných smluv na úseku UW prováděná oběma osobami podepisujícími pojistnou smlouvu a následná kontrola úsekem taxace
limitace katastrofickýchz rizik ve smlouvách
Případy procházejí přes ředitele a RM
Konzultace se zajistitelem
Kontrola procesů interním auditem</t>
  </si>
  <si>
    <t xml:space="preserve">Informační systémy - Veris, MIS
Směrnice pro taxaci a provoz
Externí firma, která rozesílá komunikaci
Kontrolní sestavy POV
Kontrolní sestava nespárované banky
Seznam VIP klientů
</t>
  </si>
  <si>
    <t>Vizuální zobrazení dat - % na obrazovce při zadávání.
Prověrka sestavy provizí zpracovaná měsíčně.
Audit provizních sazeb v systému.</t>
  </si>
  <si>
    <t>Dvoustupnňové projednání rizika:
- při poptávace - v představenstvu
- při úpisu - ověření, zda bylo projednáno v rizikové komisi
_ Vícenásobná kontrola:
- underwriter
- risk mananažer
- zajistitel</t>
  </si>
  <si>
    <t xml:space="preserve">Obchodní ředitel </t>
  </si>
  <si>
    <t>zdokonalující funkcionality a kontroly systému Veris
Pravidelné rekonciliace a posílení operačního týmu</t>
  </si>
  <si>
    <t>Akceptační protokoly - testování dodavatelem i zadavatelem</t>
  </si>
  <si>
    <t xml:space="preserve">Používání bezpečných formulářů - číslované karty
Komunikace v mediích - tlak v médiích
Lobbying změna zákona - zpřísnění podmínek
Zabezpečení pojistek ze zprostředkovatelského on-line systému
</t>
  </si>
  <si>
    <t>Výpis z trestního rejstříku při příjmu nového zaměstnance
Orientační náslechy rozhovorů s klienty</t>
  </si>
  <si>
    <t>Pro rutinní nákupy jsou určení dodavatele
Nestandardní nákupy - výběrové řízení.
Stanované limity pro schvalování nákupu
Vymezení nákupního procesu ve vnitřní směrnici
Rozpočty nákladů
Kontrola interním auditem
Schvalování vešekrých nákupů GŘ</t>
  </si>
  <si>
    <t>Příloha č.1</t>
  </si>
  <si>
    <t>Katalog kontrol</t>
  </si>
  <si>
    <t>Popis kontroly</t>
  </si>
  <si>
    <t>označení rizika</t>
  </si>
  <si>
    <t>číslo kontroly</t>
  </si>
  <si>
    <t>kód kontroly</t>
  </si>
  <si>
    <t>kontrola - název</t>
  </si>
  <si>
    <t>popis kontroly</t>
  </si>
  <si>
    <t>kategorie kontroly</t>
  </si>
  <si>
    <t>podstata kontroly</t>
  </si>
  <si>
    <t>forma kontroly</t>
  </si>
  <si>
    <t>pozice odpovědná za kontrolu</t>
  </si>
  <si>
    <t>pozice provádějící kontrolu</t>
  </si>
  <si>
    <t>frekvence provádění kontroly</t>
  </si>
  <si>
    <t>míra účinnosti kontroly</t>
  </si>
  <si>
    <t>reportovací povinnost / Záznam</t>
  </si>
  <si>
    <t>R_01_</t>
  </si>
  <si>
    <t>Produktivita sjednatelů</t>
  </si>
  <si>
    <t>Kontrola počtu uzavřených PS, průměrná délka sjednání a průměrná cena PS</t>
  </si>
  <si>
    <t>K01_kontrolní seznam</t>
  </si>
  <si>
    <t>preventivní</t>
  </si>
  <si>
    <t>manuální/poloautomatická</t>
  </si>
  <si>
    <t>Manažer LPU Zdraví</t>
  </si>
  <si>
    <t>měsíčně</t>
  </si>
  <si>
    <t>vysoká</t>
  </si>
  <si>
    <t>Obchodní prezentace</t>
  </si>
  <si>
    <t>Produktivita úseku Zdraví</t>
  </si>
  <si>
    <t>Kontrola nahlášených PU vs. vyplacených, restand a produktivita zaměstnanců úseku</t>
  </si>
  <si>
    <t>K05_monitoring/pozorování</t>
  </si>
  <si>
    <t>univerzální</t>
  </si>
  <si>
    <t>střední</t>
  </si>
  <si>
    <t>Obchodní porada</t>
  </si>
  <si>
    <t>Škodní průběh a frekvence škod</t>
  </si>
  <si>
    <t>Kontrola vybraných produktů a sjednatelů s ohledem na škodní průběh a frekvenci škod.</t>
  </si>
  <si>
    <t>Kontrola velkých škod</t>
  </si>
  <si>
    <t>Škody nad 100.000,- se kontrolují s ohledem na uznatelnost. Možnost následného regresu či postihu. Kontrola správnosti likvidace těchto škod.</t>
  </si>
  <si>
    <t>K04_review</t>
  </si>
  <si>
    <t>detekční</t>
  </si>
  <si>
    <t>týdně</t>
  </si>
  <si>
    <t>Velké škody</t>
  </si>
  <si>
    <t>Návrhy na výpověď</t>
  </si>
  <si>
    <t>Kontrola rizikových klientů s možností návrhu na výpověď PS</t>
  </si>
  <si>
    <t>Likvidátor</t>
  </si>
  <si>
    <t>Riziková komise</t>
  </si>
  <si>
    <t>Kontrola zákonných lhůt</t>
  </si>
  <si>
    <t>Kontrola dodržování zákonných lhůt při likvidaci PU.</t>
  </si>
  <si>
    <t>K07_chybová/změnová hlášení</t>
  </si>
  <si>
    <t>-</t>
  </si>
  <si>
    <t>Výkonnost produktu</t>
  </si>
  <si>
    <t>Kontrola sazebníku, rozsahu produktu, porovnání s konkurencí, analýza profitability produktu Cizinci</t>
  </si>
  <si>
    <t>K08_analýza KPI, KRI</t>
  </si>
  <si>
    <t>Inovační komise</t>
  </si>
  <si>
    <t>Kontrola kalkulátorů</t>
  </si>
  <si>
    <t>Kontrola správné činnosti sjednávacích programů a kalulátorů</t>
  </si>
  <si>
    <t>K11_konfigurace systému</t>
  </si>
  <si>
    <t>Kontrola automatizovaných postupů</t>
  </si>
  <si>
    <t>Kontrola automaticky generovaných emailů systémem</t>
  </si>
  <si>
    <t>Zaměstnanec IT</t>
  </si>
  <si>
    <t>denně</t>
  </si>
  <si>
    <t>Inicializační přístup do systému</t>
  </si>
  <si>
    <t>Nastvení hesel a přístupů do provozních systémů</t>
  </si>
  <si>
    <t>K12_omezení přístupu do systému</t>
  </si>
  <si>
    <t>kontinuální - procesní nastavení</t>
  </si>
  <si>
    <t>Nástup nového zaměstnance</t>
  </si>
  <si>
    <t>Systémové zálohování</t>
  </si>
  <si>
    <t>Provedení systémové zálohy produkčního serveru</t>
  </si>
  <si>
    <t>K13_zálohování</t>
  </si>
  <si>
    <t>čtvrtletně</t>
  </si>
  <si>
    <t>Záznam o předání média</t>
  </si>
  <si>
    <t>Příchozí dotazy HelpDesku</t>
  </si>
  <si>
    <t>Kontrola nově příchozích dotazů zaměstnanců na HelpDesku</t>
  </si>
  <si>
    <t>automatická</t>
  </si>
  <si>
    <t>Elektronická zpráva</t>
  </si>
  <si>
    <t>Úpravy externího dodavatele</t>
  </si>
  <si>
    <t>Testování a schválení nasazení úprav externího dodavatele</t>
  </si>
  <si>
    <t>nepravidelně</t>
  </si>
  <si>
    <t>Akceptační protokol</t>
  </si>
  <si>
    <t>Předzávěrkové operace</t>
  </si>
  <si>
    <t>Spuštění kontrolních a chybových sestav</t>
  </si>
  <si>
    <t>Protokol ÚZ</t>
  </si>
  <si>
    <t>Oprávněnost objednávky</t>
  </si>
  <si>
    <t>Kontrola věcné správnosti a opodstatněnosti objednávky do 50.000,-</t>
  </si>
  <si>
    <t>K03_konfirmace/verifikace</t>
  </si>
  <si>
    <t>Vedoucí úseku</t>
  </si>
  <si>
    <t>Objednávkový formulář</t>
  </si>
  <si>
    <t>Kontrola věcné správnosti a opodstatněnosti objednávky nad 50.000,-</t>
  </si>
  <si>
    <t>Obnova dat</t>
  </si>
  <si>
    <t>Kontrola obnovitelnosti dat v testovacím prostředí</t>
  </si>
  <si>
    <t>K14_jiná</t>
  </si>
  <si>
    <t>Porada vedení</t>
  </si>
  <si>
    <t>Náslechy hovorů</t>
  </si>
  <si>
    <t>Namátková kontrola proběhlých telefon. hovorů náslechem ze záznamu</t>
  </si>
  <si>
    <t>Manager CPK</t>
  </si>
  <si>
    <t>Obsluha e-mail schránky SP</t>
  </si>
  <si>
    <t>Kontrola obsluhy e-mailové schránky info@slavia-pojistovna.cz</t>
  </si>
  <si>
    <t>Reportovací činnost ČNB</t>
  </si>
  <si>
    <t>Vyplnění evidenčního listu reportingové povinnosti</t>
  </si>
  <si>
    <t>Manager KM</t>
  </si>
  <si>
    <t>Asistentka GŘ</t>
  </si>
  <si>
    <t>Reportovací činnost ČKP, ČAP</t>
  </si>
  <si>
    <t>Kontrola termínů automatickou výzvou</t>
  </si>
  <si>
    <t>Soulad s legislativou</t>
  </si>
  <si>
    <t>Kontrola legislativních a regulatorních požadavků</t>
  </si>
  <si>
    <t>Soulad legislativy s interními předpisy</t>
  </si>
  <si>
    <t>Kontrola interních předpisů po nabytí účinnosti legislativních požadavků</t>
  </si>
  <si>
    <t>Soulad interních předpisů</t>
  </si>
  <si>
    <t>Kontrola vzájemného souladu interních předpisů</t>
  </si>
  <si>
    <t>Úvodní strana dokumentu</t>
  </si>
  <si>
    <t>R_24</t>
  </si>
  <si>
    <t>Interní audit</t>
  </si>
  <si>
    <t>Kontrola dodržování nastavených procesů</t>
  </si>
  <si>
    <t>Interní auditor</t>
  </si>
  <si>
    <t>Představenstvo / zpráva z IA</t>
  </si>
  <si>
    <t>Činnost interního auditu</t>
  </si>
  <si>
    <t>Kontrola práce a reportingové činnosti interního auditora</t>
  </si>
  <si>
    <t>Výbor pro audit</t>
  </si>
  <si>
    <t>R_23</t>
  </si>
  <si>
    <t>Služby outsourcingu</t>
  </si>
  <si>
    <t>Kontrola a monitorování outsourcovaných služeb</t>
  </si>
  <si>
    <t>Představenstvo</t>
  </si>
  <si>
    <t>Kontrola prováděných LPU</t>
  </si>
  <si>
    <t>Dodržování zákonných lhůt a interních předpisů</t>
  </si>
  <si>
    <t>Vedoucí LPU</t>
  </si>
  <si>
    <t>Záznam o kontrole</t>
  </si>
  <si>
    <t>Docházka</t>
  </si>
  <si>
    <t>Kontrola docházky zaměstnanců včetně dodaných podkladů</t>
  </si>
  <si>
    <t>K06_autorizace</t>
  </si>
  <si>
    <t>Mzdová účetní</t>
  </si>
  <si>
    <t>Výplatní páska</t>
  </si>
  <si>
    <t>Kontrola docházky zaměstnanců</t>
  </si>
  <si>
    <t>Produktivita zaměstnanců</t>
  </si>
  <si>
    <t>Kontrola produktivity práce zaměstnanců dle reportu z provozního systému</t>
  </si>
  <si>
    <t>Stížnosti</t>
  </si>
  <si>
    <t>Kontrola odpovědí na stížnosti vyjádřením vedoucího ke každé stížnosti</t>
  </si>
  <si>
    <t>Vyjádření likvidátora</t>
  </si>
  <si>
    <t>Kontrola likvidace velkých škod nad 100.000,-</t>
  </si>
  <si>
    <t>Představenstvo, Velké škody</t>
  </si>
  <si>
    <t>Faktury došlé</t>
  </si>
  <si>
    <t>Kontrola věcné správnosti outsourcovaných služeb na základě došlé faktury</t>
  </si>
  <si>
    <t>Košilka došlé faktury</t>
  </si>
  <si>
    <t>Výplata PU</t>
  </si>
  <si>
    <t>Kontrola výplat pojistých plnění zaměstnanci odpovědnými za výplatu ddle košilky</t>
  </si>
  <si>
    <t>Výplaty pojistných plnění</t>
  </si>
  <si>
    <t>Stav postižních a regresních pohledávek</t>
  </si>
  <si>
    <t>Kontrola stavu postižních a regresních pohledávek a závazků dle reportu z provozního systému</t>
  </si>
  <si>
    <t>Záznam Report LPU</t>
  </si>
  <si>
    <t>Práce s RBNS</t>
  </si>
  <si>
    <t>Kontrola práce s RBNS všech otevřených PU v souladu s interními předpisy</t>
  </si>
  <si>
    <t>Revize spisů LPU</t>
  </si>
  <si>
    <t>Kontrola věcné správnosti likvidace PU pověřeným revizorem</t>
  </si>
  <si>
    <t>Revizní likvidátor</t>
  </si>
  <si>
    <t>Košilka spisu PU</t>
  </si>
  <si>
    <t>Kontrola správného nastavení běžného účtu a výplatní částky oprávněné osobě při výplatě PU</t>
  </si>
  <si>
    <t>ALPU</t>
  </si>
  <si>
    <t>Nespárované platby</t>
  </si>
  <si>
    <t>Kontrola nespárovaných přijatých plateb z postižních a regresních pohledávek</t>
  </si>
  <si>
    <t>Asistentka ředitele LPU</t>
  </si>
  <si>
    <t>Provozní systém</t>
  </si>
  <si>
    <t>Pohledávky a závazky</t>
  </si>
  <si>
    <t>RBNS</t>
  </si>
  <si>
    <t>Úhrady došlých faktur</t>
  </si>
  <si>
    <t>Kontrola uhrazených faktur externích likvidátorů</t>
  </si>
  <si>
    <t>Párování plateb</t>
  </si>
  <si>
    <t>Kontrola párování úhrad plateb pojistného plnění v provozním systému</t>
  </si>
  <si>
    <t>Externí likvidátor</t>
  </si>
  <si>
    <t xml:space="preserve">Kontrola činnosti externího likvidátora </t>
  </si>
  <si>
    <t>Měsíční závěrka</t>
  </si>
  <si>
    <t>Kontrola hrubého předepsaného pojistného a zaslouženého pojistného</t>
  </si>
  <si>
    <t>K02_rekonciliace</t>
  </si>
  <si>
    <t>Controller</t>
  </si>
  <si>
    <t>ČNB, Představenstvo</t>
  </si>
  <si>
    <t>Kontrola škod</t>
  </si>
  <si>
    <t>Kontrola škod - pojistné plnění a škodní rezervy</t>
  </si>
  <si>
    <t>Vyplacené provize</t>
  </si>
  <si>
    <t>Kontrola vyplacených provizí</t>
  </si>
  <si>
    <t>Režijní náklady</t>
  </si>
  <si>
    <t>Rekonciliace administrativních nákladů po nákladových střediscích a druzích</t>
  </si>
  <si>
    <t>Generální ředitel / Představenstvo / Analýza správní režie</t>
  </si>
  <si>
    <t>Kontrola zajistitele</t>
  </si>
  <si>
    <t>Kontrola výsledku zajistitele porovnáním se zajistným programem a plánem</t>
  </si>
  <si>
    <t>Solventnost</t>
  </si>
  <si>
    <t>Kontrola Solventnosti</t>
  </si>
  <si>
    <t>Krytí rezerv</t>
  </si>
  <si>
    <t>Kontrola krytí rezerv</t>
  </si>
  <si>
    <t>Pojistný matematik</t>
  </si>
  <si>
    <t>Rekonciliace run-off analýzy</t>
  </si>
  <si>
    <t>Run-off analýza pro ČNB</t>
  </si>
  <si>
    <t>Zdravotní způsobilost</t>
  </si>
  <si>
    <t>Kontrola doložení zdravotní způsobilosti nového zaměstnance</t>
  </si>
  <si>
    <t>Personalista</t>
  </si>
  <si>
    <t>Záznam ve složce zaměstnance</t>
  </si>
  <si>
    <t>Školení</t>
  </si>
  <si>
    <t>Kontrola splněných zákonných školení zaměstnanců</t>
  </si>
  <si>
    <t>Moodle, Instructor Prevent</t>
  </si>
  <si>
    <t>Bezúhonnost</t>
  </si>
  <si>
    <t>Kontrola způsobilosti a bezúhonnosti nových zaměstnanců</t>
  </si>
  <si>
    <t>Kontrola vývoje stížností za období</t>
  </si>
  <si>
    <t>Zápis z jednání Představenstva</t>
  </si>
  <si>
    <t>Plnění úkolů</t>
  </si>
  <si>
    <t>Kontrola plnění zadaných úkolů</t>
  </si>
  <si>
    <t>obchodní výsledky a hospodaření společnosti</t>
  </si>
  <si>
    <t>Kontrola předložených obchodních výsledků a hospodaření společnosti</t>
  </si>
  <si>
    <t>Umístění finančních aktiv</t>
  </si>
  <si>
    <t>Kontrola umístění finančních aktiv</t>
  </si>
  <si>
    <t>Produkty a inovace</t>
  </si>
  <si>
    <t>Kontrola a schválení nových produktů a inovací</t>
  </si>
  <si>
    <t>Organizační struktura</t>
  </si>
  <si>
    <t>Kontrola změn organizační struktury</t>
  </si>
  <si>
    <t>Střet zájmů</t>
  </si>
  <si>
    <t>Kontrola případného střetu zájmů ve společnosti</t>
  </si>
  <si>
    <t>K09_oddělení pravomocí</t>
  </si>
  <si>
    <t>Významné právní kauzy</t>
  </si>
  <si>
    <t>Kontrola vývoje významných právních kauz vedených společností</t>
  </si>
  <si>
    <t>Kontrola sazebníku, rozsahu produktu, porovnání s konkurencí, analýza profitability produktu autopojištění (míra storen, analýza obnovené produkce, analýza nové produkce)</t>
  </si>
  <si>
    <t>Produktový manažer auta</t>
  </si>
  <si>
    <t>Obchodní prezentace, Představenstvo</t>
  </si>
  <si>
    <t>Nová produkce</t>
  </si>
  <si>
    <t>Kontrola nové a obnovené produkce</t>
  </si>
  <si>
    <t>Produktové znalosti</t>
  </si>
  <si>
    <t>Kontrola produktových znalostí</t>
  </si>
  <si>
    <t>K10_školení zaměstnanců</t>
  </si>
  <si>
    <t>Moodle</t>
  </si>
  <si>
    <t>Misteryshopping</t>
  </si>
  <si>
    <t>Kontrola prováděných činností zamětnanců na pobočkách (předpisy, proklientský přístup, znalosti)</t>
  </si>
  <si>
    <t>Zaměstnanec obchodu</t>
  </si>
  <si>
    <t>Obchodní aktivity</t>
  </si>
  <si>
    <t>Kontrola obchodních aktivit zaměstnanců obchodu (počet schůzek, počet ujetých kilometrů, počet odchozích hovorů, počet odeslaných emailů)</t>
  </si>
  <si>
    <t>Obchodní prezentace, Obchodní ředitel</t>
  </si>
  <si>
    <t>Kontrola produktivity - Obchodní reporting zaměstnanců obchodu</t>
  </si>
  <si>
    <t>Zápis z porady obchodu, obchodní prezentace</t>
  </si>
  <si>
    <t>Produktivita poboček</t>
  </si>
  <si>
    <t>Kontrola produktivity poboček pojišťovny</t>
  </si>
  <si>
    <t>Regionální manager</t>
  </si>
  <si>
    <t>Porada poboček</t>
  </si>
  <si>
    <t>R_03_</t>
  </si>
  <si>
    <t>Obligatorní zajistné smlouvy</t>
  </si>
  <si>
    <t>Kontrola nastavení obligatorních zajistných smluv</t>
  </si>
  <si>
    <t>manažer zajištění</t>
  </si>
  <si>
    <t>Fakultativní zajistné smlouvy</t>
  </si>
  <si>
    <t>Kontrola nastavení fakultativních zajistných smluv</t>
  </si>
  <si>
    <t>pololetně</t>
  </si>
  <si>
    <t>R_05_</t>
  </si>
  <si>
    <t>Sazby</t>
  </si>
  <si>
    <t>Kotrola sazeb</t>
  </si>
  <si>
    <t>Underwriter</t>
  </si>
  <si>
    <t>R_06_</t>
  </si>
  <si>
    <t>Přiměřenost rezerv</t>
  </si>
  <si>
    <t>Kontrola přiměřenosti škodních rezerv</t>
  </si>
  <si>
    <t>R_08_</t>
  </si>
  <si>
    <t>Nepřesné ohodnocení rizik</t>
  </si>
  <si>
    <t xml:space="preserve">Kontrola nepřesného ohodnocení rizik škod - eliminace případné hrozby </t>
  </si>
  <si>
    <t>Produktový manažer</t>
  </si>
  <si>
    <t>R_09_</t>
  </si>
  <si>
    <t>Vyšší nákladovost</t>
  </si>
  <si>
    <t>Kontrola vysokého CR, vyšší nákladavost</t>
  </si>
  <si>
    <t>Riskmanažer</t>
  </si>
  <si>
    <t>R_10_</t>
  </si>
  <si>
    <t>Kvóta</t>
  </si>
  <si>
    <t>Kontrola škodní kvóta oproti plánu</t>
  </si>
  <si>
    <t>R_11_</t>
  </si>
  <si>
    <t>CAT rizika</t>
  </si>
  <si>
    <t>Kontrola rizik škody z CAT rizik</t>
  </si>
  <si>
    <t>Roční účetní závěrka</t>
  </si>
  <si>
    <t>Kontrola řádné roční účetní závěrky</t>
  </si>
  <si>
    <t>Dozorčí rada</t>
  </si>
  <si>
    <t>Valná hromada</t>
  </si>
  <si>
    <t>Kontrola dodržování rozhodnutí Valné hromady</t>
  </si>
  <si>
    <t>Právní předpisy</t>
  </si>
  <si>
    <t>Kontrola dodržování právních předpisů</t>
  </si>
  <si>
    <t>Účetnictví</t>
  </si>
  <si>
    <t>Kontrola účetnictví</t>
  </si>
  <si>
    <t>Majetek společnosti</t>
  </si>
  <si>
    <t>Kontrola stavu majetku společnosti</t>
  </si>
  <si>
    <t>Závazky a pohledávky</t>
  </si>
  <si>
    <t>Kontrola závazků a pohledávek</t>
  </si>
  <si>
    <t>Kontrola taxace</t>
  </si>
  <si>
    <t>Namátková kontrola správnosti nataxovaných pojistných smluv</t>
  </si>
  <si>
    <t>Team leader</t>
  </si>
  <si>
    <t>Záznam - Kontrola taxace smluv</t>
  </si>
  <si>
    <t>Potaxační kontrola B2B smluv</t>
  </si>
  <si>
    <t>Kontrola správnosti taxace průmyslových smluv (pojistné, PML, PZ, zajistné, platnost PS)</t>
  </si>
  <si>
    <t>Referent taxace</t>
  </si>
  <si>
    <t>Pozdě odeslaná data o ukončení PS na ČKP</t>
  </si>
  <si>
    <t>Kontrola pozdě odeslaných informací o ukončení pojistných smluv na ČKP.</t>
  </si>
  <si>
    <t>Týdenní reporting</t>
  </si>
  <si>
    <t>Pozdě odeslaná data o vzniku a zániku PS na ČKP</t>
  </si>
  <si>
    <t>Kontrola pozdě odeslaných informací o vzniku a zániku pojistných smluv na ČKP.</t>
  </si>
  <si>
    <t>Měsíční reporting</t>
  </si>
  <si>
    <t>Superprovize</t>
  </si>
  <si>
    <t>Kontrola správnosti výpočtu superprovizí dle dodatků ke SMOZ</t>
  </si>
  <si>
    <t>Referent provozu</t>
  </si>
  <si>
    <t>Zápočty provizí</t>
  </si>
  <si>
    <t>Kontrola správnosti nastavení zápočtů provizí v provozním systému</t>
  </si>
  <si>
    <t>Provizní sazby</t>
  </si>
  <si>
    <t>Kontrola nastavení provizních sazeb do provozního systému (KZPC, NZPC)</t>
  </si>
  <si>
    <t>Smlouvy o obchodním zastoupení</t>
  </si>
  <si>
    <t>Kontrola zavedení do provozního systému</t>
  </si>
  <si>
    <t>Výplata provizí</t>
  </si>
  <si>
    <t>Kontrola správnosti součtu provizí k výplatě</t>
  </si>
  <si>
    <t>Provizní košilka</t>
  </si>
  <si>
    <t>Kontrola protokolu o průběhu měsíční závěrky (kontrola provedení jednotlivých kroků)</t>
  </si>
  <si>
    <t>Protokol měsíční závěrky</t>
  </si>
  <si>
    <t>Chybovka archiv</t>
  </si>
  <si>
    <t>Kontrola digitalizovaných pojistných smluv zda byly zadány do provozního systému.</t>
  </si>
  <si>
    <t>Vedoucí archivu/Referent provozu</t>
  </si>
  <si>
    <t>Složka Chybovka archiv</t>
  </si>
  <si>
    <t>Předtaxační kontrola PS</t>
  </si>
  <si>
    <t>Kontrola povinných náležitostí pojistných smluv před taxací</t>
  </si>
  <si>
    <t>několikrát denně</t>
  </si>
  <si>
    <t>Robot ČKP</t>
  </si>
  <si>
    <t>Kontrola fungování robota odesílajícího data na ČKP.</t>
  </si>
  <si>
    <t>Denní kontrolní email</t>
  </si>
  <si>
    <t>Kontrola intervencí na PS POV</t>
  </si>
  <si>
    <t>Kontrola správnosti přenosu pojistných smluv přes webové rozhraní.</t>
  </si>
  <si>
    <t>denní sestava PS v intervenci</t>
  </si>
  <si>
    <t>Výplata pojistných událostí</t>
  </si>
  <si>
    <t>Kontrola správnosti počtu položek a celkové sumy k výplatě.</t>
  </si>
  <si>
    <t>Chybovka avíza a upomínky</t>
  </si>
  <si>
    <t>Kontrola nespárovaných plateb před odesláním avíz a upomínek</t>
  </si>
  <si>
    <t>chybová sestava</t>
  </si>
  <si>
    <t>Kontrola odpisů pohledávek</t>
  </si>
  <si>
    <t>Kontrola odpisů a zrušených odpisů pohledávek z přímého pojištění.</t>
  </si>
  <si>
    <t>Specialista správy pohledávek</t>
  </si>
  <si>
    <t>sestava odepsaných pohledávek</t>
  </si>
  <si>
    <t>Kontrola stavu nespárované banky</t>
  </si>
  <si>
    <t>Kontrola stavu pohledávek</t>
  </si>
  <si>
    <t>Reporting stavu pohledávek z přímého pojištění na poradě vedení společnosti</t>
  </si>
  <si>
    <t>Kontrola plnění splátkových kalendářů</t>
  </si>
  <si>
    <t>Kontrola plnění dohod o uznání dluhu s pojišťovacími zprostředkovateli a splátkových kalendářů s klienty (přímé pojištění).</t>
  </si>
  <si>
    <t>Team leader/Referent provozu</t>
  </si>
  <si>
    <t>evidence splátkových kalendářů</t>
  </si>
  <si>
    <t>Kategorie kontroly</t>
  </si>
  <si>
    <t>Popis kategorie kontroly</t>
  </si>
  <si>
    <t>K01</t>
  </si>
  <si>
    <t>kontrolní seznam (check list)</t>
  </si>
  <si>
    <t xml:space="preserve">Kontrolní seznam zajišťuje úplnost. Jedná se o dokument, který např. formou kladení série otázek nebo prostým výčtem položek zabezpečuje správnou a kompletní posloupnost určitých úkonů, vyhotovení všech předepsaných výstupů nebo uvážení všech okolností. Je vhodné ho použít zejména pro komplexní, netriviální činnosti/série činností nebo tvorbu rozsáhlejší dokumentace. </t>
  </si>
  <si>
    <t>poloautomatická / manuální</t>
  </si>
  <si>
    <t>K02</t>
  </si>
  <si>
    <t>rekonciliace - odsouhlasení</t>
  </si>
  <si>
    <t>Rekonciliace zajišťuje konzistenci údajů. Kontrola spočívá v porovnání vzájemně souvisejících údajů ze dvou nezávislých zdrojů. Rekonciliace slouží k ověření konzistence údajů v různých systémech a umožňuje odhalit chyby vzniklé například při automatických či manuálních transferech dat z jedné datové sestavy do druhé.</t>
  </si>
  <si>
    <t>preventivní / detekční</t>
  </si>
  <si>
    <t>K03</t>
  </si>
  <si>
    <t>konfirmace/verifikace</t>
  </si>
  <si>
    <t>Konfirmace/verifikace zajišťuje pravdivost údajů. Při této kontrole dochází k nezávislému ověření vybraných údajů. Ověření může mít nejrůznější formu - potvrzení získaná od externích subjektů, znovuobdržení již známé informace, ověřovací použití ověřované informace. Ověření mohou být získána prostřednictvím protistran v rámci daných transakcí či nezávislých expertů a jejich odborných posudků.</t>
  </si>
  <si>
    <t>K04</t>
  </si>
  <si>
    <t>review - revize</t>
  </si>
  <si>
    <t>Review zajišťuje kvalitu výstupů. Review provádí zaměstnanec, který není shodný se zaměstnancem, jenž daný výstup či řešení vypracoval. Review je zaměřeno na analýzu a ověření správnosti daného výstupu či řešení. Zahrnuje kontrolu kvality, správnosti nebo funkčnosti kontrolovaného výstupu, ověření zdrojů použitých pro vyhotovení daného výstupu. Review může zahrnovat provedení kontrolních úkonů více typů. V závislosti na významu kontrolovaných výstupů může být review prováděno zaměstnancem na stejném nebo vyšším hierarchickém stupni.</t>
  </si>
  <si>
    <t>K05</t>
  </si>
  <si>
    <t>monitoring/pozorování</t>
  </si>
  <si>
    <t>Monitoring/pozorování ověřuje chod v rámci žádaných parametrů, případně zajišťuje včasné zohlednění či řešení nastalých změn nebo problémů. Jde o kontrolní činnost v podobě průběžné supervize procesů, činností či aktiv společnosti s cílem zabránit vzniku chyb v těchto procesech, činnostech nebo na aktivech společnosti, popřípadě identifikovat vzniklé chyby a zprostředkovat jejich nápravu. Monitoring/pozorování zahrnuje nejen kontrolní aktivity nadřízených směrem k podřízeným, ale i aktivity bezpečnostních pracovníků směrem k činnostem všech zaměstnanců i vůči externím subjektům (použití bezpečnostních kamer, sledování funkce počítačů zaměstnanců, atd.).</t>
  </si>
  <si>
    <t>K06</t>
  </si>
  <si>
    <t>autorizace</t>
  </si>
  <si>
    <t xml:space="preserve">Autorizace zajišťuje potvrzení důležitých rozhodnutí odpovědnou osobou. Zahrnuje schvalování určitých operací/transakcí odpovědným zaměstnancem dle určitých předem definovaných principů. Toto schválení potvrzuje, že daná operace/transakce bude vykonána v souladu s vnitřními politikami a směrnicemi společnosti. V rámci vnitřních předpisů společnosti jsou zpravidla stanoveny konkrétní schvalovací podmínky pro povinnou autorizaci stanovenými zaměstnanci. </t>
  </si>
  <si>
    <t>polouatomatická / manuální</t>
  </si>
  <si>
    <t>K07</t>
  </si>
  <si>
    <t>chybová/změnová hlášení</t>
  </si>
  <si>
    <t>Chybová/změnová hlášení zajišťují správnost dat v IT infrastruktuře. Systém generuje automatická upozornění reagující na provedení nestandardní (chybové) operace či na provedenou změnu dat ve stanovené databázi. Zároveň sem patří systémem generované sestavy položek splňující nějaké charakteristiky, které ukazují na určitou nefunkčnost nebo chyby procesů. Cílem je, aby takto nastavená automatická kontrola identifikovala a vybrala transakce/operace, které vzhledem ke svým charakteristikám vyžadují zvýšenou pozornost odpovědných zaměstnanců, např. formou postoupení k následné manažerské kontrole.</t>
  </si>
  <si>
    <t>automatická / poloautomatická</t>
  </si>
  <si>
    <t>K08</t>
  </si>
  <si>
    <t>analýza KPI, KRI</t>
  </si>
  <si>
    <t>Analýza KPI/KRI slouží k včasné identifikaci změn v okolnostech a trendech. Tato kategorie zahrnuje přípravu, review a analýzu určitých klíčových ukazatelů (finančních i nefinančních), které umožňují vedoucím pracovníkům vyhodnocovat úspěšnost činnosti společnosti/útvaru/zaměstnance vzhledem k předem stanoveným cílům nebo limitům. Tyto ukazatele mohou být vyhodnocovány průběžně či ve stanovené periodicitě a to v různé úrovni členění a detailu daného ukazatele. Podmínkou je, aby tyto ukazatele byly správně spočítány ze spolehlivých vstupních údajů a aby byly k dispozici v požadované míře detailu pro účel identifikace případné chyby/neplnění cíle (pokrytí daného rizika).</t>
  </si>
  <si>
    <t>K09</t>
  </si>
  <si>
    <t>oddělení pravomocí</t>
  </si>
  <si>
    <t>Oddělení pravomocí zajišťuje omezení střetu zájmů a z něj vyplývajících nežádoucích jevů. Kontrola je realizována procesním nastavením a představuje oddělení zodpovědností v rámci dané činnosti či série činností tak, aby jednotlivé části/fáze činnosti/série činností musely být prováděny více různými zaměstnanci – např. procesní rozdělení odpovědnosti v likvidaci pojistné události mezi sběr podkladů, samotnou likvidaci a výplatu pojistného plnění.</t>
  </si>
  <si>
    <t>K10</t>
  </si>
  <si>
    <t>školení zaměstnanců</t>
  </si>
  <si>
    <t>Školení předchází zejména rizikům spojeným s nejrůznějšími změnami a vývojem. Dostatečný a vhodný typ školení poskytovaných zaměstnancům zvyšuje úroveň jejich znalostí a kompetencí k provádění jim určených činností, za něž mají zodpovědnost. Vede tak ke snížení rizika chyb postihujících výsledky jejich činností a rizika spojená s nesprávným použitím aktiv společnosti. Zároveň je školení vhodným způsobem komunikace záměrů vedení směrem k zaměstnancům společnosti.</t>
  </si>
  <si>
    <t>poloautomatická (e-learning) / manuální</t>
  </si>
  <si>
    <t>K11</t>
  </si>
  <si>
    <t>konfigurace systému</t>
  </si>
  <si>
    <t>Jde o standardní aplikační kontroly či specificky nastavené kontroly v systémech, které slouží k zabezpečení dat proti jejich nesprávnému zpracování (např. automatické nastavení určitého výpočtu) a zajišťují integritu těchto dat (kontroly zajišťují, aby data měla požadovanou datovou strukturu). Tyto kontroly odstraňují riziko chyby vznikající při manuálním zpracování dat.</t>
  </si>
  <si>
    <t>K12</t>
  </si>
  <si>
    <t>omezení přístupu do systému</t>
  </si>
  <si>
    <t>Kontroly zabezpečující to, aby s konkrétními aplikacemi a daty, ale i předměty mohli pracovat jen k tomu oprávnění zaměstnanci na základě jim uděleného povolení přístupu do systému či na dané pracoviště. Zahrnují existenci uživatelských hesel pro přihlášení se do interních systémů, vstup do budovy pouze na základě použití zaměstnanecké čipové karty či na základě prokázání své identifikace pracovníku ostrahy apod.).</t>
  </si>
  <si>
    <t>automatická / poloautomatickánebomanuální</t>
  </si>
  <si>
    <t>K13</t>
  </si>
  <si>
    <t>zálohování</t>
  </si>
  <si>
    <t>Jde o zabezpečení dat před rizikem ztráty či poškození formou jejich pravidelného přenosu z provozních systémů a ukládání na zálohový server či jejich uchovávání na předem zabezpečeném místě (např. formou pravidelného ukládání dokumentů do zabezpečeného archivu společnosti).</t>
  </si>
  <si>
    <t>automatická / poloautomatická / manuální</t>
  </si>
  <si>
    <t>K14</t>
  </si>
  <si>
    <t>jiná</t>
  </si>
  <si>
    <t>Sem spadají kontroly realizované mimo ostatní kategorie, případně specifickým procesním nastavením.</t>
  </si>
  <si>
    <t>Grand Total</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</si>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</sst>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0.0%"/>
    <numFmt numFmtId="166" formatCode="_(* #,##0_);_(* \(#,##0\);_(* &quot;-&quot;??_);_(@_)"/>
  </numFmts>
  <fonts count="31" x14ac:knownFonts="1">
    <font>
      <sz val="10"/>
      <name val="Arial"/>
    </font>
    <font>
      <sz val="11"/>
      <color theme="1"/>
      <name val="Calibri"/>
      <family val="2"/>
      <charset val="238"/>
      <scheme val="minor"/>
    </font>
    <font>
      <b/>
      <sz val="10"/>
      <name val="Arial"/>
      <family val="2"/>
    </font>
    <font>
      <b/>
      <sz val="10"/>
      <name val="Arial Narrow"/>
      <family val="2"/>
    </font>
    <font>
      <sz val="10"/>
      <name val="Arial Narrow"/>
      <family val="2"/>
      <charset val="238"/>
    </font>
    <font>
      <b/>
      <sz val="10"/>
      <name val="Arial Narrow"/>
      <family val="2"/>
      <charset val="238"/>
    </font>
    <font>
      <sz val="10"/>
      <name val="Arial Narrow"/>
      <family val="2"/>
    </font>
    <font>
      <sz val="10"/>
      <name val="Arial"/>
      <family val="2"/>
      <charset val="238"/>
    </font>
    <font>
      <b/>
      <sz val="10"/>
      <name val="Arial"/>
      <family val="2"/>
      <charset val="238"/>
    </font>
    <font>
      <sz val="11"/>
      <color theme="0"/>
      <name val="Calibri"/>
      <family val="2"/>
      <charset val="238"/>
      <scheme val="minor"/>
    </font>
    <font>
      <sz val="10"/>
      <color theme="1"/>
      <name val="Arial"/>
      <family val="2"/>
      <charset val="238"/>
    </font>
    <font>
      <b/>
      <sz val="10"/>
      <color rgb="FFFF0000"/>
      <name val="Calibri"/>
      <family val="2"/>
      <charset val="238"/>
      <scheme val="minor"/>
    </font>
    <font>
      <sz val="10"/>
      <name val="Calibri"/>
      <family val="2"/>
      <charset val="238"/>
      <scheme val="minor"/>
    </font>
    <font>
      <sz val="10"/>
      <color theme="2" tint="-9.9978637043366805E-2"/>
      <name val="Calibri"/>
      <family val="2"/>
      <charset val="238"/>
      <scheme val="minor"/>
    </font>
    <font>
      <b/>
      <sz val="20"/>
      <name val="Calibri"/>
      <family val="2"/>
      <charset val="238"/>
      <scheme val="minor"/>
    </font>
    <font>
      <b/>
      <sz val="10"/>
      <name val="Calibri"/>
      <family val="2"/>
      <charset val="238"/>
      <scheme val="minor"/>
    </font>
    <font>
      <b/>
      <sz val="12"/>
      <color theme="1"/>
      <name val="Calibri"/>
      <family val="2"/>
      <charset val="238"/>
      <scheme val="minor"/>
    </font>
    <font>
      <b/>
      <sz val="10"/>
      <color theme="1"/>
      <name val="Calibri"/>
      <family val="2"/>
      <charset val="238"/>
      <scheme val="minor"/>
    </font>
    <font>
      <sz val="10"/>
      <color theme="1"/>
      <name val="Calibri"/>
      <family val="2"/>
      <charset val="238"/>
      <scheme val="minor"/>
    </font>
    <font>
      <sz val="14"/>
      <color theme="1"/>
      <name val="Calibri"/>
      <family val="2"/>
      <charset val="238"/>
      <scheme val="minor"/>
    </font>
    <font>
      <b/>
      <sz val="20"/>
      <color theme="1"/>
      <name val="Calibri"/>
      <family val="2"/>
      <charset val="238"/>
      <scheme val="minor"/>
    </font>
    <font>
      <b/>
      <sz val="12"/>
      <name val="Calibri"/>
      <family val="2"/>
      <charset val="238"/>
    </font>
    <font>
      <sz val="12"/>
      <color theme="1"/>
      <name val="Calibri"/>
      <family val="2"/>
      <charset val="238"/>
      <scheme val="minor"/>
    </font>
    <font>
      <b/>
      <sz val="11"/>
      <name val="Calibri"/>
      <family val="2"/>
      <charset val="238"/>
    </font>
    <font>
      <b/>
      <sz val="11"/>
      <color theme="0"/>
      <name val="Calibri"/>
      <family val="2"/>
      <charset val="238"/>
    </font>
    <font>
      <b/>
      <sz val="11"/>
      <color rgb="FFFFFFFF"/>
      <name val="Calibri"/>
      <family val="2"/>
      <charset val="238"/>
      <scheme val="minor"/>
    </font>
    <font>
      <u/>
      <sz val="10"/>
      <color theme="10"/>
      <name val="Arial"/>
      <family val="2"/>
      <charset val="238"/>
    </font>
    <font>
      <sz val="10"/>
      <name val="Arial"/>
      <family val="2"/>
      <charset val="238"/>
    </font>
    <font>
      <sz val="10"/>
      <name val="Arial"/>
      <family val="2"/>
      <charset val="238"/>
    </font>
    <font>
      <strike/>
      <sz val="10"/>
      <name val="Arial"/>
      <family val="2"/>
    </font>
    <font>
      <strike/>
      <sz val="10"/>
      <color theme="1"/>
      <name val="Arial"/>
      <family val="2"/>
    </font>
  </fonts>
  <fills count="15">
    <fill>
      <patternFill patternType="none"/>
    </fill>
    <fill>
      <patternFill patternType="gray125"/>
    </fill>
    <fill>
      <patternFill patternType="solid">
        <fgColor indexed="22"/>
        <bgColor indexed="64"/>
      </patternFill>
    </fill>
    <fill>
      <patternFill patternType="solid">
        <fgColor indexed="45"/>
        <bgColor indexed="64"/>
      </patternFill>
    </fill>
    <fill>
      <patternFill patternType="solid">
        <fgColor indexed="9"/>
        <bgColor indexed="64"/>
      </patternFill>
    </fill>
    <fill>
      <patternFill patternType="solid">
        <fgColor indexed="26"/>
        <bgColor indexed="64"/>
      </patternFill>
    </fill>
    <fill>
      <patternFill patternType="solid">
        <fgColor indexed="3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0"/>
        <bgColor indexed="64"/>
      </patternFill>
    </fill>
    <fill>
      <patternFill patternType="solid">
        <fgColor theme="7"/>
        <bgColor indexed="64"/>
      </patternFill>
    </fill>
    <fill>
      <patternFill patternType="solid">
        <fgColor rgb="FF00338D"/>
        <bgColor indexed="64"/>
      </patternFill>
    </fill>
    <fill>
      <patternFill patternType="solid">
        <fgColor rgb="FFBFCCE3"/>
        <bgColor indexed="64"/>
      </patternFill>
    </fill>
    <fill>
      <patternFill patternType="solid">
        <fgColor rgb="FF8099C6"/>
        <bgColor indexed="64"/>
      </patternFill>
    </fill>
    <fill>
      <patternFill patternType="solid">
        <fgColor theme="0" tint="-0.14999847407452621"/>
        <bgColor theme="0" tint="-0.14999847407452621"/>
      </patternFill>
    </fill>
  </fills>
  <borders count="40">
    <border>
      <left/>
      <right/>
      <top/>
      <bottom/>
      <diagonal/>
    </border>
    <border>
      <left/>
      <right style="thick">
        <color indexed="9"/>
      </right>
      <top/>
      <bottom style="thick">
        <color indexed="9"/>
      </bottom>
      <diagonal/>
    </border>
    <border>
      <left/>
      <right/>
      <top/>
      <bottom style="thick">
        <color indexed="9"/>
      </bottom>
      <diagonal/>
    </border>
    <border>
      <left/>
      <right style="thick">
        <color indexed="9"/>
      </right>
      <top style="thin">
        <color indexed="64"/>
      </top>
      <bottom/>
      <diagonal/>
    </border>
    <border>
      <left style="medium">
        <color indexed="64"/>
      </left>
      <right/>
      <top style="medium">
        <color indexed="64"/>
      </top>
      <bottom/>
      <diagonal/>
    </border>
    <border>
      <left/>
      <right/>
      <top style="medium">
        <color indexed="64"/>
      </top>
      <bottom/>
      <diagonal/>
    </border>
    <border>
      <left style="thick">
        <color indexed="9"/>
      </left>
      <right style="thick">
        <color indexed="9"/>
      </right>
      <top style="thin">
        <color indexed="64"/>
      </top>
      <bottom/>
      <diagonal/>
    </border>
    <border>
      <left style="thick">
        <color indexed="9"/>
      </left>
      <right style="thick">
        <color indexed="9"/>
      </right>
      <top/>
      <bottom style="thick">
        <color indexed="9"/>
      </bottom>
      <diagonal/>
    </border>
    <border>
      <left/>
      <right/>
      <top style="thin">
        <color indexed="64"/>
      </top>
      <bottom style="thick">
        <color indexed="9"/>
      </bottom>
      <diagonal/>
    </border>
    <border>
      <left/>
      <right style="thick">
        <color indexed="9"/>
      </right>
      <top style="thin">
        <color indexed="64"/>
      </top>
      <bottom style="thick">
        <color indexed="9"/>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medium">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hair">
        <color indexed="64"/>
      </right>
      <top/>
      <bottom style="medium">
        <color indexed="64"/>
      </bottom>
      <diagonal/>
    </border>
    <border>
      <left/>
      <right/>
      <top style="medium">
        <color rgb="FFFFFFFF"/>
      </top>
      <bottom style="thick">
        <color rgb="FFFFFFFF"/>
      </bottom>
      <diagonal/>
    </border>
    <border>
      <left/>
      <right style="medium">
        <color rgb="FFFFFFFF"/>
      </right>
      <top style="medium">
        <color rgb="FFFFFFFF"/>
      </top>
      <bottom style="thick">
        <color rgb="FFFFFFFF"/>
      </bottom>
      <diagonal/>
    </border>
    <border>
      <left style="medium">
        <color rgb="FFFFFFFF"/>
      </left>
      <right/>
      <top/>
      <bottom/>
      <diagonal/>
    </border>
    <border>
      <left style="medium">
        <color rgb="FFFFFFFF"/>
      </left>
      <right style="thick">
        <color rgb="FFFFFFFF"/>
      </right>
      <top/>
      <bottom/>
      <diagonal/>
    </border>
    <border>
      <left style="medium">
        <color rgb="FFFFFFFF"/>
      </left>
      <right style="thick">
        <color rgb="FFFFFFFF"/>
      </right>
      <top style="medium">
        <color rgb="FFFFFFFF"/>
      </top>
      <bottom/>
      <diagonal/>
    </border>
    <border>
      <left/>
      <right style="medium">
        <color rgb="FFFFFFFF"/>
      </right>
      <top/>
      <bottom style="medium">
        <color rgb="FFFFFFFF"/>
      </bottom>
      <diagonal/>
    </border>
    <border>
      <left style="medium">
        <color rgb="FFFFFFFF"/>
      </left>
      <right style="thick">
        <color rgb="FFFFFFFF"/>
      </right>
      <top style="medium">
        <color rgb="FFFFFFFF"/>
      </top>
      <bottom style="medium">
        <color rgb="FFFFFFFF"/>
      </bottom>
      <diagonal/>
    </border>
    <border>
      <left/>
      <right/>
      <top style="hair">
        <color indexed="64"/>
      </top>
      <bottom style="hair">
        <color indexed="64"/>
      </bottom>
      <diagonal/>
    </border>
    <border>
      <left/>
      <right/>
      <top style="hair">
        <color indexed="64"/>
      </top>
      <bottom/>
      <diagonal/>
    </border>
    <border>
      <left style="thick">
        <color indexed="9"/>
      </left>
      <right style="thick">
        <color indexed="9"/>
      </right>
      <top/>
      <bottom/>
      <diagonal/>
    </border>
    <border>
      <left/>
      <right style="thick">
        <color indexed="9"/>
      </right>
      <top/>
      <bottom/>
      <diagonal/>
    </border>
  </borders>
  <cellStyleXfs count="8">
    <xf numFmtId="0" fontId="0" fillId="0" borderId="0"/>
    <xf numFmtId="0" fontId="7" fillId="0" borderId="0"/>
    <xf numFmtId="0" fontId="10" fillId="0" borderId="0"/>
    <xf numFmtId="0" fontId="1" fillId="0" borderId="0"/>
    <xf numFmtId="0" fontId="10" fillId="0" borderId="0"/>
    <xf numFmtId="0" fontId="26" fillId="0" borderId="0" applyNumberFormat="0" applyFill="0" applyBorder="0" applyAlignment="0" applyProtection="0"/>
    <xf numFmtId="9" fontId="27" fillId="0" borderId="0" applyFont="0" applyFill="0" applyBorder="0" applyAlignment="0" applyProtection="0"/>
    <xf numFmtId="164" fontId="28" fillId="0" borderId="0" applyFont="0" applyFill="0" applyBorder="0" applyAlignment="0" applyProtection="0"/>
  </cellStyleXfs>
  <cellXfs count="171">
    <xf numFmtId="0" fontId="0" fillId="0" borderId="0" xfId="0"/>
    <xf numFmtId="0" fontId="2" fillId="0" borderId="0" xfId="0" applyFont="1"/>
    <xf numFmtId="0" fontId="5" fillId="2" borderId="1" xfId="0" applyFont="1" applyFill="1" applyBorder="1" applyAlignment="1">
      <alignment vertical="top" wrapText="1"/>
    </xf>
    <xf numFmtId="0" fontId="4" fillId="2" borderId="1" xfId="0" applyFont="1" applyFill="1" applyBorder="1" applyAlignment="1">
      <alignment vertical="top" wrapText="1"/>
    </xf>
    <xf numFmtId="0" fontId="4" fillId="2" borderId="2" xfId="0" applyFont="1" applyFill="1" applyBorder="1" applyAlignment="1">
      <alignment vertical="top" wrapText="1"/>
    </xf>
    <xf numFmtId="0" fontId="6" fillId="2" borderId="2" xfId="0" applyFont="1" applyFill="1" applyBorder="1" applyAlignment="1">
      <alignment vertical="top" wrapText="1"/>
    </xf>
    <xf numFmtId="0" fontId="7" fillId="0" borderId="0" xfId="0" applyFont="1"/>
    <xf numFmtId="0" fontId="6" fillId="2" borderId="1" xfId="0" applyFont="1" applyFill="1" applyBorder="1" applyAlignment="1">
      <alignment horizontal="center" vertical="top" wrapText="1"/>
    </xf>
    <xf numFmtId="0" fontId="6" fillId="2" borderId="1" xfId="0" applyFont="1" applyFill="1" applyBorder="1" applyAlignment="1">
      <alignment vertical="top" wrapText="1"/>
    </xf>
    <xf numFmtId="0" fontId="7" fillId="0" borderId="0" xfId="0" applyFont="1" applyAlignment="1">
      <alignment horizontal="center"/>
    </xf>
    <xf numFmtId="0" fontId="3" fillId="4" borderId="0" xfId="0" applyFont="1" applyFill="1" applyAlignment="1">
      <alignment horizontal="center" vertical="top"/>
    </xf>
    <xf numFmtId="0" fontId="3" fillId="4" borderId="0" xfId="0" applyFont="1" applyFill="1" applyAlignment="1">
      <alignment vertical="top"/>
    </xf>
    <xf numFmtId="0" fontId="3" fillId="4" borderId="0" xfId="0" applyFont="1" applyFill="1" applyAlignment="1">
      <alignment vertical="top" wrapText="1"/>
    </xf>
    <xf numFmtId="0" fontId="3" fillId="4" borderId="0" xfId="0" applyFont="1" applyFill="1" applyAlignment="1">
      <alignment horizontal="center" vertical="top" wrapText="1"/>
    </xf>
    <xf numFmtId="0" fontId="3" fillId="4" borderId="0" xfId="0" applyFont="1" applyFill="1" applyAlignment="1">
      <alignment horizontal="left" vertical="top" wrapText="1"/>
    </xf>
    <xf numFmtId="0" fontId="5" fillId="4" borderId="0" xfId="0" applyFont="1" applyFill="1" applyAlignment="1">
      <alignment horizontal="left" vertical="top" wrapText="1"/>
    </xf>
    <xf numFmtId="0" fontId="6" fillId="5" borderId="2"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5" borderId="1" xfId="0" applyFont="1" applyFill="1" applyBorder="1" applyAlignment="1">
      <alignment horizontal="center" vertical="top" wrapText="1"/>
    </xf>
    <xf numFmtId="0" fontId="6" fillId="2" borderId="0" xfId="0" applyFont="1" applyFill="1" applyAlignment="1">
      <alignment horizontal="center" vertical="top" wrapText="1"/>
    </xf>
    <xf numFmtId="0" fontId="6" fillId="2" borderId="1" xfId="0" applyFont="1" applyFill="1" applyBorder="1" applyAlignment="1">
      <alignment horizontal="left" vertical="top" wrapText="1"/>
    </xf>
    <xf numFmtId="0" fontId="7" fillId="0" borderId="0" xfId="0" applyFont="1" applyAlignment="1">
      <alignment horizontal="left"/>
    </xf>
    <xf numFmtId="0" fontId="3" fillId="4" borderId="0" xfId="0" applyFont="1" applyFill="1" applyAlignment="1">
      <alignment horizontal="left" wrapText="1"/>
    </xf>
    <xf numFmtId="0" fontId="4" fillId="2" borderId="1" xfId="0" applyFont="1" applyFill="1" applyBorder="1" applyAlignment="1">
      <alignment horizontal="left" vertical="top" wrapText="1"/>
    </xf>
    <xf numFmtId="0" fontId="6" fillId="4" borderId="0" xfId="0" applyFont="1" applyFill="1" applyAlignment="1">
      <alignment horizontal="left" vertical="top" wrapText="1"/>
    </xf>
    <xf numFmtId="17" fontId="4" fillId="2" borderId="1" xfId="0" quotePrefix="1" applyNumberFormat="1" applyFont="1" applyFill="1" applyBorder="1" applyAlignment="1">
      <alignment horizontal="left" vertical="top" wrapText="1"/>
    </xf>
    <xf numFmtId="0" fontId="5" fillId="2" borderId="1" xfId="0" applyFont="1" applyFill="1" applyBorder="1" applyAlignment="1">
      <alignment horizontal="left" vertical="top" wrapText="1"/>
    </xf>
    <xf numFmtId="14" fontId="4" fillId="2" borderId="1" xfId="0" applyNumberFormat="1" applyFont="1" applyFill="1" applyBorder="1" applyAlignment="1">
      <alignment horizontal="left" vertical="top" wrapText="1"/>
    </xf>
    <xf numFmtId="14" fontId="6" fillId="2" borderId="1" xfId="0" applyNumberFormat="1" applyFont="1" applyFill="1" applyBorder="1" applyAlignment="1">
      <alignment horizontal="left" vertical="top" wrapText="1"/>
    </xf>
    <xf numFmtId="0" fontId="6" fillId="6" borderId="1" xfId="0" applyFont="1" applyFill="1" applyBorder="1" applyAlignment="1">
      <alignment horizontal="center" vertical="center" wrapText="1"/>
    </xf>
    <xf numFmtId="0" fontId="3" fillId="4" borderId="0" xfId="0" applyFont="1" applyFill="1" applyAlignment="1">
      <alignment horizontal="right" vertical="top" wrapText="1"/>
    </xf>
    <xf numFmtId="0" fontId="3" fillId="3" borderId="3" xfId="0" applyFont="1" applyFill="1" applyBorder="1" applyAlignment="1">
      <alignment vertical="top" wrapText="1"/>
    </xf>
    <xf numFmtId="0" fontId="7" fillId="3" borderId="1" xfId="0" applyFont="1" applyFill="1" applyBorder="1" applyAlignment="1">
      <alignment vertical="top" wrapText="1"/>
    </xf>
    <xf numFmtId="0" fontId="3" fillId="3" borderId="3" xfId="0" applyFont="1" applyFill="1" applyBorder="1" applyAlignment="1">
      <alignment horizontal="center" vertical="top" wrapText="1"/>
    </xf>
    <xf numFmtId="0" fontId="3" fillId="3" borderId="1" xfId="0" applyFont="1" applyFill="1" applyBorder="1" applyAlignment="1">
      <alignment horizontal="center" vertical="top" wrapText="1"/>
    </xf>
    <xf numFmtId="0" fontId="3" fillId="3" borderId="3" xfId="0" applyFont="1" applyFill="1" applyBorder="1" applyAlignment="1">
      <alignment horizontal="left" vertical="top" wrapText="1"/>
    </xf>
    <xf numFmtId="0" fontId="6" fillId="2" borderId="2" xfId="0" applyFont="1" applyFill="1" applyBorder="1" applyAlignment="1">
      <alignment horizontal="left" vertical="top" wrapText="1"/>
    </xf>
    <xf numFmtId="0" fontId="3" fillId="0" borderId="0" xfId="0" applyFont="1" applyAlignment="1">
      <alignment vertical="top"/>
    </xf>
    <xf numFmtId="0" fontId="3" fillId="0" borderId="0" xfId="0" applyFont="1" applyAlignment="1">
      <alignment horizontal="right" vertical="top" wrapText="1"/>
    </xf>
    <xf numFmtId="0" fontId="11" fillId="0" borderId="0" xfId="2" applyFont="1"/>
    <xf numFmtId="0" fontId="12" fillId="0" borderId="0" xfId="2" applyFont="1"/>
    <xf numFmtId="0" fontId="12" fillId="0" borderId="0" xfId="2" applyFont="1" applyAlignment="1">
      <alignment vertical="center"/>
    </xf>
    <xf numFmtId="0" fontId="13" fillId="0" borderId="0" xfId="2" applyFont="1"/>
    <xf numFmtId="0" fontId="14" fillId="0" borderId="0" xfId="2" applyFont="1"/>
    <xf numFmtId="0" fontId="15" fillId="0" borderId="0" xfId="2" applyFont="1" applyAlignment="1">
      <alignment vertical="center"/>
    </xf>
    <xf numFmtId="0" fontId="16" fillId="8" borderId="10" xfId="2" applyFont="1" applyFill="1" applyBorder="1" applyAlignment="1">
      <alignment horizontal="center" vertical="center" wrapText="1"/>
    </xf>
    <xf numFmtId="0" fontId="16" fillId="8" borderId="5" xfId="2" applyFont="1" applyFill="1" applyBorder="1" applyAlignment="1">
      <alignment horizontal="center" vertical="center" wrapText="1"/>
    </xf>
    <xf numFmtId="0" fontId="17" fillId="8" borderId="5" xfId="2" applyFont="1" applyFill="1" applyBorder="1" applyAlignment="1">
      <alignment horizontal="center" vertical="center" wrapText="1"/>
    </xf>
    <xf numFmtId="0" fontId="17" fillId="8" borderId="11" xfId="2" applyFont="1" applyFill="1" applyBorder="1" applyAlignment="1">
      <alignment horizontal="center" vertical="center" wrapText="1"/>
    </xf>
    <xf numFmtId="0" fontId="15" fillId="8" borderId="4" xfId="2" applyFont="1" applyFill="1" applyBorder="1" applyAlignment="1">
      <alignment horizontal="center" vertical="center" wrapText="1"/>
    </xf>
    <xf numFmtId="0" fontId="15" fillId="8" borderId="5" xfId="2" applyFont="1" applyFill="1" applyBorder="1" applyAlignment="1">
      <alignment horizontal="center" vertical="center" wrapText="1"/>
    </xf>
    <xf numFmtId="0" fontId="15" fillId="8" borderId="11" xfId="2" applyFont="1" applyFill="1" applyBorder="1" applyAlignment="1">
      <alignment horizontal="center" vertical="center" wrapText="1"/>
    </xf>
    <xf numFmtId="0" fontId="18" fillId="0" borderId="0" xfId="2" applyFont="1"/>
    <xf numFmtId="0" fontId="15" fillId="0" borderId="12" xfId="2" applyFont="1" applyBorder="1" applyAlignment="1">
      <alignment horizontal="left" vertical="center" wrapText="1"/>
    </xf>
    <xf numFmtId="0" fontId="12" fillId="0" borderId="13" xfId="2" applyFont="1" applyBorder="1" applyAlignment="1">
      <alignment vertical="center"/>
    </xf>
    <xf numFmtId="0" fontId="12" fillId="0" borderId="14" xfId="2" applyFont="1" applyBorder="1" applyAlignment="1">
      <alignment vertical="center"/>
    </xf>
    <xf numFmtId="0" fontId="12" fillId="0" borderId="14" xfId="2" applyFont="1" applyBorder="1" applyAlignment="1">
      <alignment vertical="center" wrapText="1"/>
    </xf>
    <xf numFmtId="0" fontId="12" fillId="0" borderId="15" xfId="2" applyFont="1" applyBorder="1" applyAlignment="1">
      <alignment vertical="center" wrapText="1"/>
    </xf>
    <xf numFmtId="0" fontId="12" fillId="0" borderId="13" xfId="2" applyFont="1" applyBorder="1" applyAlignment="1">
      <alignment horizontal="center" vertical="center" wrapText="1"/>
    </xf>
    <xf numFmtId="0" fontId="12" fillId="0" borderId="14" xfId="2" applyFont="1" applyBorder="1" applyAlignment="1">
      <alignment horizontal="center" vertical="center" wrapText="1"/>
    </xf>
    <xf numFmtId="0" fontId="12" fillId="0" borderId="15" xfId="2" applyFont="1" applyBorder="1" applyAlignment="1">
      <alignment horizontal="center" vertical="center" wrapText="1"/>
    </xf>
    <xf numFmtId="0" fontId="12" fillId="0" borderId="13" xfId="2" applyFont="1" applyBorder="1" applyAlignment="1">
      <alignment vertical="center" wrapText="1"/>
    </xf>
    <xf numFmtId="0" fontId="18" fillId="0" borderId="15" xfId="2" applyFont="1" applyBorder="1" applyAlignment="1">
      <alignment vertical="center"/>
    </xf>
    <xf numFmtId="0" fontId="18" fillId="0" borderId="0" xfId="2" applyFont="1" applyAlignment="1">
      <alignment vertical="center"/>
    </xf>
    <xf numFmtId="0" fontId="12" fillId="7" borderId="14" xfId="2" applyFont="1" applyFill="1" applyBorder="1" applyAlignment="1">
      <alignment vertical="center" wrapText="1"/>
    </xf>
    <xf numFmtId="0" fontId="15" fillId="0" borderId="16" xfId="2" applyFont="1" applyBorder="1" applyAlignment="1">
      <alignment horizontal="left" vertical="center" wrapText="1"/>
    </xf>
    <xf numFmtId="0" fontId="18" fillId="0" borderId="17" xfId="2" applyFont="1" applyBorder="1" applyAlignment="1">
      <alignment vertical="center"/>
    </xf>
    <xf numFmtId="0" fontId="18" fillId="9" borderId="0" xfId="2" applyFont="1" applyFill="1"/>
    <xf numFmtId="0" fontId="18" fillId="9" borderId="0" xfId="2" applyFont="1" applyFill="1" applyAlignment="1">
      <alignment vertical="center"/>
    </xf>
    <xf numFmtId="0" fontId="19" fillId="0" borderId="0" xfId="3" applyFont="1" applyProtection="1">
      <protection locked="0"/>
    </xf>
    <xf numFmtId="0" fontId="1" fillId="0" borderId="0" xfId="3" applyProtection="1">
      <protection locked="0"/>
    </xf>
    <xf numFmtId="0" fontId="20" fillId="0" borderId="0" xfId="3" applyFont="1" applyProtection="1">
      <protection locked="0"/>
    </xf>
    <xf numFmtId="0" fontId="16" fillId="8" borderId="18" xfId="3" applyFont="1" applyFill="1" applyBorder="1" applyAlignment="1" applyProtection="1">
      <alignment horizontal="center" vertical="center" wrapText="1" readingOrder="1"/>
      <protection locked="0"/>
    </xf>
    <xf numFmtId="0" fontId="16" fillId="8" borderId="19" xfId="3" applyFont="1" applyFill="1" applyBorder="1" applyAlignment="1" applyProtection="1">
      <alignment horizontal="center" textRotation="90" wrapText="1"/>
      <protection locked="0"/>
    </xf>
    <xf numFmtId="0" fontId="16" fillId="8" borderId="19" xfId="3" applyFont="1" applyFill="1" applyBorder="1" applyAlignment="1" applyProtection="1">
      <alignment horizontal="center" vertical="center" wrapText="1" readingOrder="1"/>
      <protection locked="0"/>
    </xf>
    <xf numFmtId="0" fontId="16" fillId="8" borderId="20" xfId="3" applyFont="1" applyFill="1" applyBorder="1" applyAlignment="1" applyProtection="1">
      <alignment horizontal="center" vertical="center" wrapText="1" readingOrder="1"/>
      <protection locked="0"/>
    </xf>
    <xf numFmtId="0" fontId="22" fillId="0" borderId="0" xfId="3" applyFont="1" applyProtection="1">
      <protection locked="0"/>
    </xf>
    <xf numFmtId="0" fontId="23" fillId="0" borderId="21" xfId="3" applyFont="1" applyBorder="1" applyAlignment="1" applyProtection="1">
      <alignment horizontal="center" vertical="center"/>
      <protection locked="0"/>
    </xf>
    <xf numFmtId="0" fontId="1" fillId="0" borderId="22" xfId="3" applyBorder="1" applyAlignment="1" applyProtection="1">
      <alignment vertical="center"/>
      <protection locked="0"/>
    </xf>
    <xf numFmtId="0" fontId="24" fillId="10" borderId="22" xfId="3" applyFont="1" applyFill="1" applyBorder="1" applyAlignment="1" applyProtection="1">
      <alignment horizontal="center" vertical="center"/>
      <protection locked="0"/>
    </xf>
    <xf numFmtId="0" fontId="1" fillId="0" borderId="14" xfId="3" applyBorder="1" applyProtection="1">
      <protection locked="0"/>
    </xf>
    <xf numFmtId="0" fontId="1" fillId="0" borderId="14" xfId="3" applyBorder="1" applyAlignment="1" applyProtection="1">
      <alignment vertical="center"/>
      <protection locked="0"/>
    </xf>
    <xf numFmtId="0" fontId="9" fillId="10" borderId="22" xfId="3" applyFont="1" applyFill="1" applyBorder="1" applyAlignment="1" applyProtection="1">
      <alignment vertical="center"/>
      <protection locked="0"/>
    </xf>
    <xf numFmtId="0" fontId="9" fillId="10" borderId="22" xfId="3" applyFont="1" applyFill="1" applyBorder="1" applyAlignment="1" applyProtection="1">
      <alignment horizontal="center" vertical="center"/>
      <protection locked="0"/>
    </xf>
    <xf numFmtId="0" fontId="9" fillId="10" borderId="22" xfId="3" applyFont="1" applyFill="1" applyBorder="1" applyAlignment="1" applyProtection="1">
      <alignment horizontal="left" vertical="center"/>
      <protection locked="0"/>
    </xf>
    <xf numFmtId="0" fontId="1" fillId="0" borderId="23" xfId="3" applyBorder="1" applyAlignment="1" applyProtection="1">
      <alignment horizontal="left"/>
      <protection locked="0"/>
    </xf>
    <xf numFmtId="0" fontId="23" fillId="0" borderId="24" xfId="3" applyFont="1" applyBorder="1" applyAlignment="1" applyProtection="1">
      <alignment horizontal="center" vertical="center"/>
      <protection locked="0"/>
    </xf>
    <xf numFmtId="0" fontId="24" fillId="10" borderId="14" xfId="3" applyFont="1" applyFill="1" applyBorder="1" applyAlignment="1" applyProtection="1">
      <alignment horizontal="center" vertical="center"/>
      <protection locked="0"/>
    </xf>
    <xf numFmtId="0" fontId="1" fillId="0" borderId="25" xfId="3" applyBorder="1" applyProtection="1">
      <protection locked="0"/>
    </xf>
    <xf numFmtId="0" fontId="1" fillId="0" borderId="25" xfId="3" applyBorder="1" applyAlignment="1" applyProtection="1">
      <alignment vertical="center"/>
      <protection locked="0"/>
    </xf>
    <xf numFmtId="0" fontId="9" fillId="10" borderId="14" xfId="3" applyFont="1" applyFill="1" applyBorder="1" applyAlignment="1" applyProtection="1">
      <alignment vertical="center"/>
      <protection locked="0"/>
    </xf>
    <xf numFmtId="0" fontId="1" fillId="0" borderId="15" xfId="3" applyBorder="1" applyProtection="1">
      <protection locked="0"/>
    </xf>
    <xf numFmtId="0" fontId="1" fillId="0" borderId="14" xfId="3" applyBorder="1"/>
    <xf numFmtId="0" fontId="1" fillId="0" borderId="14" xfId="3" applyBorder="1" applyAlignment="1">
      <alignment vertical="center"/>
    </xf>
    <xf numFmtId="0" fontId="23" fillId="0" borderId="26" xfId="3" applyFont="1" applyBorder="1" applyAlignment="1" applyProtection="1">
      <alignment horizontal="center" vertical="center"/>
      <protection locked="0"/>
    </xf>
    <xf numFmtId="0" fontId="1" fillId="0" borderId="27" xfId="3" applyBorder="1" applyProtection="1">
      <protection locked="0"/>
    </xf>
    <xf numFmtId="0" fontId="24" fillId="10" borderId="27" xfId="3" applyFont="1" applyFill="1" applyBorder="1" applyAlignment="1" applyProtection="1">
      <alignment horizontal="center" vertical="center"/>
      <protection locked="0"/>
    </xf>
    <xf numFmtId="0" fontId="1" fillId="0" borderId="27" xfId="3" applyBorder="1" applyAlignment="1" applyProtection="1">
      <alignment vertical="center"/>
      <protection locked="0"/>
    </xf>
    <xf numFmtId="0" fontId="9" fillId="10" borderId="28" xfId="3" applyFont="1" applyFill="1" applyBorder="1" applyAlignment="1" applyProtection="1">
      <alignment vertical="center"/>
      <protection locked="0"/>
    </xf>
    <xf numFmtId="0" fontId="9" fillId="10" borderId="28" xfId="3" applyFont="1" applyFill="1" applyBorder="1" applyAlignment="1" applyProtection="1">
      <alignment horizontal="center" vertical="center"/>
      <protection locked="0"/>
    </xf>
    <xf numFmtId="0" fontId="9" fillId="10" borderId="27" xfId="3" applyFont="1" applyFill="1" applyBorder="1" applyAlignment="1" applyProtection="1">
      <alignment vertical="center"/>
      <protection locked="0"/>
    </xf>
    <xf numFmtId="0" fontId="1" fillId="0" borderId="17" xfId="3" applyBorder="1" applyProtection="1">
      <protection locked="0"/>
    </xf>
    <xf numFmtId="0" fontId="1" fillId="0" borderId="0" xfId="3"/>
    <xf numFmtId="0" fontId="25" fillId="11" borderId="32" xfId="3" applyFont="1" applyFill="1" applyBorder="1" applyAlignment="1">
      <alignment horizontal="justify" vertical="center" wrapText="1"/>
    </xf>
    <xf numFmtId="0" fontId="25" fillId="11" borderId="33" xfId="3" applyFont="1" applyFill="1" applyBorder="1" applyAlignment="1">
      <alignment horizontal="left" vertical="center" wrapText="1"/>
    </xf>
    <xf numFmtId="0" fontId="1" fillId="12" borderId="34" xfId="3" applyFill="1" applyBorder="1" applyAlignment="1">
      <alignment horizontal="justify" vertical="center" wrapText="1"/>
    </xf>
    <xf numFmtId="0" fontId="1" fillId="12" borderId="34" xfId="3" applyFill="1" applyBorder="1" applyAlignment="1">
      <alignment horizontal="center" vertical="center" wrapText="1"/>
    </xf>
    <xf numFmtId="0" fontId="25" fillId="11" borderId="33" xfId="3" applyFont="1" applyFill="1" applyBorder="1" applyAlignment="1">
      <alignment horizontal="justify" vertical="center" wrapText="1"/>
    </xf>
    <xf numFmtId="0" fontId="1" fillId="13" borderId="34" xfId="3" applyFill="1" applyBorder="1" applyAlignment="1">
      <alignment horizontal="justify" vertical="center" wrapText="1"/>
    </xf>
    <xf numFmtId="0" fontId="1" fillId="13" borderId="34" xfId="3" applyFill="1" applyBorder="1" applyAlignment="1">
      <alignment horizontal="center" vertical="center" wrapText="1"/>
    </xf>
    <xf numFmtId="0" fontId="25" fillId="11" borderId="35" xfId="3" applyFont="1" applyFill="1" applyBorder="1" applyAlignment="1">
      <alignment horizontal="left" vertical="center" wrapText="1"/>
    </xf>
    <xf numFmtId="0" fontId="1" fillId="0" borderId="0" xfId="3" applyAlignment="1">
      <alignment horizontal="center"/>
    </xf>
    <xf numFmtId="0" fontId="15" fillId="0" borderId="36" xfId="2" applyFont="1" applyBorder="1" applyAlignment="1">
      <alignment horizontal="left" vertical="center" wrapText="1"/>
    </xf>
    <xf numFmtId="0" fontId="15" fillId="0" borderId="37" xfId="2" applyFont="1" applyBorder="1" applyAlignment="1">
      <alignment horizontal="left" vertical="center" wrapText="1"/>
    </xf>
    <xf numFmtId="0" fontId="26" fillId="0" borderId="0" xfId="5"/>
    <xf numFmtId="10" fontId="0" fillId="0" borderId="0" xfId="0" applyNumberFormat="1"/>
    <xf numFmtId="9" fontId="0" fillId="0" borderId="0" xfId="0" applyNumberFormat="1"/>
    <xf numFmtId="166" fontId="0" fillId="0" borderId="0" xfId="7" applyNumberFormat="1" applyFont="1"/>
    <xf numFmtId="165" fontId="0" fillId="0" borderId="0" xfId="0" applyNumberFormat="1"/>
    <xf numFmtId="9" fontId="29" fillId="0" borderId="0" xfId="0" applyNumberFormat="1" applyFont="1"/>
    <xf numFmtId="0" fontId="0" fillId="0" borderId="0" xfId="0" applyAlignment="1">
      <alignment wrapText="1"/>
    </xf>
    <xf numFmtId="9" fontId="0" fillId="0" borderId="0" xfId="6" applyFont="1"/>
    <xf numFmtId="3" fontId="0" fillId="0" borderId="0" xfId="0" applyNumberFormat="1"/>
    <xf numFmtId="0" fontId="3" fillId="3" borderId="38" xfId="0" applyFont="1" applyFill="1" applyBorder="1" applyAlignment="1">
      <alignment horizontal="center" vertical="top" wrapText="1"/>
    </xf>
    <xf numFmtId="0" fontId="3" fillId="3" borderId="6" xfId="0" applyFont="1" applyFill="1" applyBorder="1" applyAlignment="1">
      <alignment vertical="top" wrapText="1"/>
    </xf>
    <xf numFmtId="0" fontId="3" fillId="3" borderId="39" xfId="0" applyFont="1" applyFill="1" applyBorder="1" applyAlignment="1">
      <alignment horizontal="center" vertical="top" wrapText="1"/>
    </xf>
    <xf numFmtId="0" fontId="3" fillId="3" borderId="38" xfId="0" applyFont="1" applyFill="1" applyBorder="1" applyAlignment="1">
      <alignment vertical="top" wrapText="1"/>
    </xf>
    <xf numFmtId="0" fontId="3" fillId="3" borderId="39" xfId="0" applyFont="1" applyFill="1" applyBorder="1" applyAlignment="1">
      <alignment vertical="top" wrapText="1"/>
    </xf>
    <xf numFmtId="0" fontId="3" fillId="3" borderId="39" xfId="0" applyFont="1" applyFill="1" applyBorder="1" applyAlignment="1">
      <alignment horizontal="left" vertical="top" wrapText="1"/>
    </xf>
    <xf numFmtId="0" fontId="3" fillId="3" borderId="38" xfId="0" applyFont="1" applyFill="1" applyBorder="1" applyAlignment="1">
      <alignment horizontal="left" vertical="top" wrapText="1"/>
    </xf>
    <xf numFmtId="0" fontId="10" fillId="14" borderId="0" xfId="0" applyFont="1" applyFill="1"/>
    <xf numFmtId="0" fontId="10" fillId="0" borderId="0" xfId="0" applyFont="1"/>
    <xf numFmtId="9" fontId="10" fillId="14" borderId="0" xfId="0" applyNumberFormat="1" applyFont="1" applyFill="1"/>
    <xf numFmtId="0" fontId="10" fillId="0" borderId="0" xfId="0" applyFont="1" applyAlignment="1">
      <alignment wrapText="1"/>
    </xf>
    <xf numFmtId="9" fontId="10" fillId="0" borderId="0" xfId="0" applyNumberFormat="1" applyFont="1"/>
    <xf numFmtId="166" fontId="10" fillId="0" borderId="0" xfId="7" applyNumberFormat="1" applyFont="1"/>
    <xf numFmtId="166" fontId="10" fillId="14" borderId="0" xfId="7" applyNumberFormat="1" applyFont="1" applyFill="1"/>
    <xf numFmtId="0" fontId="10" fillId="14" borderId="0" xfId="0" applyFont="1" applyFill="1" applyAlignment="1">
      <alignment wrapText="1"/>
    </xf>
    <xf numFmtId="165" fontId="10" fillId="0" borderId="0" xfId="0" applyNumberFormat="1" applyFont="1"/>
    <xf numFmtId="9" fontId="30" fillId="0" borderId="0" xfId="0" applyNumberFormat="1" applyFont="1"/>
    <xf numFmtId="9" fontId="30" fillId="14" borderId="0" xfId="0" applyNumberFormat="1" applyFont="1" applyFill="1"/>
    <xf numFmtId="166" fontId="10" fillId="0" borderId="0" xfId="7" applyNumberFormat="1" applyFont="1" applyBorder="1"/>
    <xf numFmtId="1" fontId="3" fillId="3" borderId="39" xfId="0" applyNumberFormat="1" applyFont="1" applyFill="1" applyBorder="1" applyAlignment="1">
      <alignment horizontal="center" vertical="top" wrapText="1"/>
    </xf>
    <xf numFmtId="1" fontId="0" fillId="0" borderId="0" xfId="0" applyNumberFormat="1"/>
    <xf numFmtId="1" fontId="0" fillId="0" borderId="0" xfId="0" applyNumberFormat="1" applyAlignment="1">
      <alignment horizontal="right"/>
    </xf>
    <xf numFmtId="14" fontId="3" fillId="3" borderId="38" xfId="0" applyNumberFormat="1" applyFont="1" applyFill="1" applyBorder="1" applyAlignment="1">
      <alignment horizontal="center" vertical="top" wrapText="1"/>
    </xf>
    <xf numFmtId="14" fontId="0" fillId="0" borderId="0" xfId="0" applyNumberFormat="1"/>
    <xf numFmtId="166" fontId="10" fillId="0" borderId="0" xfId="0" applyNumberFormat="1" applyFont="1"/>
    <xf numFmtId="0" fontId="8" fillId="0" borderId="0" xfId="0" applyFont="1"/>
    <xf numFmtId="0" fontId="0" fillId="0" borderId="0" xfId="0" pivotButton="1"/>
    <xf numFmtId="0" fontId="0" fillId="0" borderId="0" xfId="0" applyAlignment="1">
      <alignment horizontal="left"/>
    </xf>
    <xf numFmtId="0" fontId="3" fillId="3" borderId="8" xfId="0" applyFont="1" applyFill="1" applyBorder="1" applyAlignment="1">
      <alignment horizontal="center" vertical="top" wrapText="1"/>
    </xf>
    <xf numFmtId="0" fontId="3" fillId="3" borderId="9" xfId="0" applyFont="1" applyFill="1" applyBorder="1" applyAlignment="1">
      <alignment horizontal="center" vertical="top" wrapText="1"/>
    </xf>
    <xf numFmtId="0" fontId="3" fillId="3" borderId="3" xfId="0" applyFont="1" applyFill="1" applyBorder="1" applyAlignment="1">
      <alignment vertical="top" wrapText="1"/>
    </xf>
    <xf numFmtId="0" fontId="7" fillId="3" borderId="1" xfId="0" applyFont="1" applyFill="1" applyBorder="1" applyAlignment="1">
      <alignment vertical="top" wrapText="1"/>
    </xf>
    <xf numFmtId="0" fontId="3" fillId="3" borderId="6" xfId="0" applyFont="1" applyFill="1" applyBorder="1" applyAlignment="1">
      <alignment horizontal="center" vertical="top" wrapText="1"/>
    </xf>
    <xf numFmtId="0" fontId="7" fillId="3" borderId="7" xfId="0" applyFont="1" applyFill="1" applyBorder="1" applyAlignment="1">
      <alignment horizontal="center" vertical="top" wrapText="1"/>
    </xf>
    <xf numFmtId="0" fontId="3" fillId="3" borderId="3" xfId="0" applyFont="1" applyFill="1" applyBorder="1" applyAlignment="1">
      <alignment horizontal="center" vertical="top" wrapText="1"/>
    </xf>
    <xf numFmtId="0" fontId="3" fillId="3" borderId="1" xfId="0" applyFont="1" applyFill="1" applyBorder="1" applyAlignment="1">
      <alignment horizontal="center" vertical="top" wrapText="1"/>
    </xf>
    <xf numFmtId="0" fontId="3" fillId="3" borderId="6" xfId="0" applyFont="1" applyFill="1" applyBorder="1" applyAlignment="1">
      <alignment vertical="top" wrapText="1"/>
    </xf>
    <xf numFmtId="0" fontId="3" fillId="3" borderId="7" xfId="0" applyFont="1" applyFill="1" applyBorder="1" applyAlignment="1">
      <alignment vertical="top" wrapText="1"/>
    </xf>
    <xf numFmtId="0" fontId="3" fillId="3" borderId="3" xfId="0" applyFont="1" applyFill="1" applyBorder="1" applyAlignment="1">
      <alignment horizontal="left" vertical="top" wrapText="1"/>
    </xf>
    <xf numFmtId="0" fontId="8" fillId="3" borderId="1" xfId="0" applyFont="1" applyFill="1" applyBorder="1" applyAlignment="1">
      <alignment horizontal="left" vertical="top" wrapText="1"/>
    </xf>
    <xf numFmtId="0" fontId="1" fillId="0" borderId="0" xfId="3" applyProtection="1">
      <protection locked="0"/>
    </xf>
    <xf numFmtId="0" fontId="21" fillId="8" borderId="4" xfId="3" applyFont="1" applyFill="1" applyBorder="1" applyAlignment="1" applyProtection="1">
      <alignment horizontal="center"/>
      <protection locked="0"/>
    </xf>
    <xf numFmtId="0" fontId="21" fillId="8" borderId="5" xfId="3" applyFont="1" applyFill="1" applyBorder="1" applyAlignment="1" applyProtection="1">
      <alignment horizontal="center"/>
      <protection locked="0"/>
    </xf>
    <xf numFmtId="0" fontId="21" fillId="8" borderId="11" xfId="3" applyFont="1" applyFill="1" applyBorder="1" applyAlignment="1" applyProtection="1">
      <alignment horizontal="center"/>
      <protection locked="0"/>
    </xf>
    <xf numFmtId="0" fontId="25" fillId="11" borderId="29" xfId="3" applyFont="1" applyFill="1" applyBorder="1" applyAlignment="1">
      <alignment horizontal="center" wrapText="1"/>
    </xf>
    <xf numFmtId="0" fontId="25" fillId="11" borderId="30" xfId="3" applyFont="1" applyFill="1" applyBorder="1" applyAlignment="1">
      <alignment horizontal="center" wrapText="1"/>
    </xf>
    <xf numFmtId="0" fontId="25" fillId="11" borderId="31" xfId="3" applyFont="1" applyFill="1" applyBorder="1" applyAlignment="1">
      <alignment horizontal="center" wrapText="1"/>
    </xf>
    <xf numFmtId="0" fontId="25" fillId="11" borderId="0" xfId="3" applyFont="1" applyFill="1" applyAlignment="1">
      <alignment horizontal="center" wrapText="1"/>
    </xf>
  </cellXfs>
  <cellStyles count="8">
    <cellStyle name="Comma" xfId="7" builtinId="3"/>
    <cellStyle name="Hyperlink" xfId="5" builtinId="8"/>
    <cellStyle name="Normal" xfId="0" builtinId="0"/>
    <cellStyle name="Normal 2" xfId="2" xr:uid="{00000000-0005-0000-0000-000001000000}"/>
    <cellStyle name="Normal 3" xfId="3" xr:uid="{00000000-0005-0000-0000-000002000000}"/>
    <cellStyle name="normální 2" xfId="1" xr:uid="{00000000-0005-0000-0000-000004000000}"/>
    <cellStyle name="normální 3" xfId="4" xr:uid="{00000000-0005-0000-0000-000005000000}"/>
    <cellStyle name="Percent" xfId="6" builtinId="5"/>
  </cellStyles>
  <dxfs count="138">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indexed="50"/>
        </patternFill>
      </fill>
    </dxf>
    <dxf>
      <fill>
        <patternFill>
          <bgColor indexed="52"/>
        </patternFill>
      </fill>
    </dxf>
    <dxf>
      <fill>
        <patternFill>
          <bgColor indexed="16"/>
        </patternFill>
      </fill>
    </dxf>
    <dxf>
      <fill>
        <patternFill>
          <bgColor indexed="50"/>
        </patternFill>
      </fill>
    </dxf>
    <dxf>
      <fill>
        <patternFill>
          <bgColor indexed="52"/>
        </patternFill>
      </fill>
    </dxf>
    <dxf>
      <fill>
        <patternFill>
          <bgColor indexed="16"/>
        </patternFill>
      </fill>
    </dxf>
    <dxf>
      <fill>
        <patternFill>
          <bgColor indexed="50"/>
        </patternFill>
      </fill>
    </dxf>
    <dxf>
      <fill>
        <patternFill>
          <bgColor indexed="52"/>
        </patternFill>
      </fill>
    </dxf>
    <dxf>
      <fill>
        <patternFill>
          <bgColor indexed="16"/>
        </patternFill>
      </fill>
    </dxf>
    <dxf>
      <fill>
        <patternFill>
          <bgColor indexed="16"/>
        </patternFill>
      </fill>
    </dxf>
    <dxf>
      <fill>
        <patternFill>
          <bgColor indexed="52"/>
        </patternFill>
      </fill>
    </dxf>
    <dxf>
      <fill>
        <patternFill>
          <bgColor indexed="50"/>
        </patternFill>
      </fill>
    </dxf>
    <dxf>
      <fill>
        <patternFill>
          <bgColor indexed="52"/>
        </patternFill>
      </fill>
    </dxf>
    <dxf>
      <fill>
        <patternFill>
          <bgColor indexed="50"/>
        </patternFill>
      </fill>
    </dxf>
    <dxf>
      <fill>
        <patternFill>
          <bgColor indexed="16"/>
        </patternFill>
      </fill>
    </dxf>
    <dxf>
      <fill>
        <patternFill>
          <bgColor indexed="16"/>
        </patternFill>
      </fill>
    </dxf>
    <dxf>
      <fill>
        <patternFill>
          <bgColor indexed="52"/>
        </patternFill>
      </fill>
    </dxf>
    <dxf>
      <fill>
        <patternFill>
          <bgColor indexed="50"/>
        </patternFill>
      </fill>
    </dxf>
    <dxf>
      <fill>
        <patternFill>
          <bgColor indexed="16"/>
        </patternFill>
      </fill>
    </dxf>
    <dxf>
      <fill>
        <patternFill>
          <bgColor indexed="52"/>
        </patternFill>
      </fill>
    </dxf>
    <dxf>
      <fill>
        <patternFill>
          <bgColor indexed="50"/>
        </patternFill>
      </fill>
    </dxf>
    <dxf>
      <fill>
        <patternFill>
          <bgColor indexed="50"/>
        </patternFill>
      </fill>
    </dxf>
    <dxf>
      <fill>
        <patternFill>
          <bgColor indexed="52"/>
        </patternFill>
      </fill>
    </dxf>
    <dxf>
      <fill>
        <patternFill>
          <bgColor indexed="16"/>
        </patternFill>
      </fill>
    </dxf>
    <dxf>
      <fill>
        <patternFill>
          <bgColor indexed="52"/>
        </patternFill>
      </fill>
    </dxf>
    <dxf>
      <fill>
        <patternFill>
          <bgColor indexed="50"/>
        </patternFill>
      </fill>
    </dxf>
    <dxf>
      <fill>
        <patternFill>
          <bgColor indexed="16"/>
        </patternFill>
      </fill>
    </dxf>
    <dxf>
      <fill>
        <patternFill>
          <bgColor indexed="50"/>
        </patternFill>
      </fill>
    </dxf>
    <dxf>
      <fill>
        <patternFill>
          <bgColor indexed="16"/>
        </patternFill>
      </fill>
    </dxf>
    <dxf>
      <fill>
        <patternFill>
          <bgColor indexed="52"/>
        </patternFill>
      </fill>
    </dxf>
    <dxf>
      <fill>
        <patternFill>
          <bgColor indexed="50"/>
        </patternFill>
      </fill>
    </dxf>
    <dxf>
      <fill>
        <patternFill>
          <bgColor indexed="16"/>
        </patternFill>
      </fill>
    </dxf>
    <dxf>
      <fill>
        <patternFill>
          <bgColor indexed="52"/>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indexed="50"/>
        </patternFill>
      </fill>
    </dxf>
    <dxf>
      <fill>
        <patternFill>
          <bgColor indexed="52"/>
        </patternFill>
      </fill>
    </dxf>
    <dxf>
      <fill>
        <patternFill>
          <bgColor indexed="16"/>
        </patternFill>
      </fill>
    </dxf>
    <dxf>
      <fill>
        <patternFill>
          <bgColor indexed="16"/>
        </patternFill>
      </fill>
    </dxf>
    <dxf>
      <fill>
        <patternFill>
          <bgColor indexed="50"/>
        </patternFill>
      </fill>
    </dxf>
    <dxf>
      <fill>
        <patternFill>
          <bgColor indexed="52"/>
        </patternFill>
      </fill>
    </dxf>
    <dxf>
      <fill>
        <patternFill>
          <bgColor indexed="50"/>
        </patternFill>
      </fill>
    </dxf>
    <dxf>
      <fill>
        <patternFill>
          <bgColor indexed="52"/>
        </patternFill>
      </fill>
    </dxf>
    <dxf>
      <fill>
        <patternFill>
          <bgColor indexed="16"/>
        </patternFill>
      </fill>
    </dxf>
    <dxf>
      <fill>
        <patternFill>
          <bgColor indexed="16"/>
        </patternFill>
      </fill>
    </dxf>
    <dxf>
      <fill>
        <patternFill>
          <bgColor indexed="52"/>
        </patternFill>
      </fill>
    </dxf>
    <dxf>
      <fill>
        <patternFill>
          <bgColor indexed="50"/>
        </patternFill>
      </fill>
    </dxf>
    <dxf>
      <fill>
        <patternFill>
          <bgColor indexed="52"/>
        </patternFill>
      </fill>
    </dxf>
    <dxf>
      <fill>
        <patternFill>
          <bgColor indexed="50"/>
        </patternFill>
      </fill>
    </dxf>
    <dxf>
      <fill>
        <patternFill>
          <bgColor indexed="16"/>
        </patternFill>
      </fill>
    </dxf>
    <dxf>
      <fill>
        <patternFill>
          <bgColor indexed="50"/>
        </patternFill>
      </fill>
    </dxf>
    <dxf>
      <fill>
        <patternFill>
          <bgColor indexed="16"/>
        </patternFill>
      </fill>
    </dxf>
    <dxf>
      <fill>
        <patternFill>
          <bgColor indexed="52"/>
        </patternFill>
      </fill>
    </dxf>
    <dxf>
      <fill>
        <patternFill>
          <bgColor indexed="16"/>
        </patternFill>
      </fill>
    </dxf>
    <dxf>
      <fill>
        <patternFill>
          <bgColor indexed="52"/>
        </patternFill>
      </fill>
    </dxf>
    <dxf>
      <fill>
        <patternFill>
          <bgColor indexed="50"/>
        </patternFill>
      </fill>
    </dxf>
    <dxf>
      <fill>
        <patternFill>
          <bgColor indexed="16"/>
        </patternFill>
      </fill>
    </dxf>
    <dxf>
      <fill>
        <patternFill>
          <bgColor indexed="50"/>
        </patternFill>
      </fill>
    </dxf>
    <dxf>
      <fill>
        <patternFill>
          <bgColor indexed="52"/>
        </patternFill>
      </fill>
    </dxf>
    <dxf>
      <fill>
        <patternFill>
          <bgColor indexed="16"/>
        </patternFill>
      </fill>
    </dxf>
    <dxf>
      <fill>
        <patternFill>
          <bgColor indexed="52"/>
        </patternFill>
      </fill>
    </dxf>
    <dxf>
      <fill>
        <patternFill>
          <bgColor indexed="50"/>
        </patternFill>
      </fill>
    </dxf>
    <dxf>
      <fill>
        <patternFill>
          <bgColor indexed="16"/>
        </patternFill>
      </fill>
    </dxf>
    <dxf>
      <fill>
        <patternFill>
          <bgColor indexed="50"/>
        </patternFill>
      </fill>
    </dxf>
    <dxf>
      <fill>
        <patternFill>
          <bgColor indexed="52"/>
        </patternFill>
      </fill>
    </dxf>
    <dxf>
      <fill>
        <patternFill>
          <bgColor indexed="16"/>
        </patternFill>
      </fill>
    </dxf>
    <dxf>
      <fill>
        <patternFill>
          <bgColor indexed="50"/>
        </patternFill>
      </fill>
    </dxf>
    <dxf>
      <fill>
        <patternFill>
          <bgColor indexed="52"/>
        </patternFill>
      </fill>
    </dxf>
    <dxf>
      <font>
        <b val="0"/>
        <i val="0"/>
        <strike val="0"/>
        <condense val="0"/>
        <extend val="0"/>
        <outline val="0"/>
        <shadow val="0"/>
        <u val="none"/>
        <vertAlign val="baseline"/>
        <sz val="10"/>
        <color theme="1"/>
        <name val="Arial"/>
        <family val="2"/>
        <charset val="238"/>
        <scheme val="none"/>
      </font>
      <numFmt numFmtId="166" formatCode="_(* #,##0_);_(* \(#,##0\);_(* &quot;-&quot;??_);_(@_)"/>
    </dxf>
    <dxf>
      <font>
        <b val="0"/>
        <i val="0"/>
        <strike val="0"/>
        <condense val="0"/>
        <extend val="0"/>
        <outline val="0"/>
        <shadow val="0"/>
        <u val="none"/>
        <vertAlign val="baseline"/>
        <sz val="10"/>
        <color theme="1"/>
        <name val="Arial"/>
        <family val="2"/>
        <charset val="238"/>
        <scheme val="none"/>
      </font>
      <numFmt numFmtId="166" formatCode="_(* #,##0_);_(* \(#,##0\);_(* &quot;-&quot;??_);_(@_)"/>
    </dxf>
    <dxf>
      <font>
        <b val="0"/>
        <i val="0"/>
        <strike val="0"/>
        <condense val="0"/>
        <extend val="0"/>
        <outline val="0"/>
        <shadow val="0"/>
        <u val="none"/>
        <vertAlign val="baseline"/>
        <sz val="10"/>
        <color theme="1"/>
        <name val="Arial"/>
        <family val="2"/>
        <charset val="238"/>
        <scheme val="none"/>
      </font>
      <numFmt numFmtId="166" formatCode="_(* #,##0_);_(* \(#,##0\);_(* &quot;-&quot;??_);_(@_)"/>
    </dxf>
    <dxf>
      <font>
        <b val="0"/>
        <i val="0"/>
        <strike val="0"/>
        <condense val="0"/>
        <extend val="0"/>
        <outline val="0"/>
        <shadow val="0"/>
        <u val="none"/>
        <vertAlign val="baseline"/>
        <sz val="10"/>
        <color theme="1"/>
        <name val="Arial"/>
        <family val="2"/>
        <charset val="238"/>
        <scheme val="none"/>
      </font>
      <numFmt numFmtId="166" formatCode="_(* #,##0_);_(* \(#,##0\);_(* &quot;-&quot;??_);_(@_)"/>
    </dxf>
    <dxf>
      <font>
        <b val="0"/>
        <i val="0"/>
        <strike val="0"/>
        <condense val="0"/>
        <extend val="0"/>
        <outline val="0"/>
        <shadow val="0"/>
        <u val="none"/>
        <vertAlign val="baseline"/>
        <sz val="10"/>
        <color theme="1"/>
        <name val="Arial"/>
        <family val="2"/>
        <charset val="238"/>
        <scheme val="none"/>
      </font>
    </dxf>
    <dxf>
      <font>
        <b val="0"/>
        <i val="0"/>
        <strike val="0"/>
        <condense val="0"/>
        <extend val="0"/>
        <outline val="0"/>
        <shadow val="0"/>
        <u val="none"/>
        <vertAlign val="baseline"/>
        <sz val="10"/>
        <color theme="1"/>
        <name val="Arial"/>
        <family val="2"/>
        <charset val="238"/>
        <scheme val="none"/>
      </font>
    </dxf>
    <dxf>
      <font>
        <b val="0"/>
        <i val="0"/>
        <strike val="0"/>
        <condense val="0"/>
        <extend val="0"/>
        <outline val="0"/>
        <shadow val="0"/>
        <u val="none"/>
        <vertAlign val="baseline"/>
        <sz val="10"/>
        <color theme="1"/>
        <name val="Arial"/>
        <family val="2"/>
        <charset val="238"/>
        <scheme val="none"/>
      </font>
    </dxf>
    <dxf>
      <font>
        <b val="0"/>
        <i val="0"/>
        <strike val="0"/>
        <condense val="0"/>
        <extend val="0"/>
        <outline val="0"/>
        <shadow val="0"/>
        <u val="none"/>
        <vertAlign val="baseline"/>
        <sz val="10"/>
        <color theme="1"/>
        <name val="Arial"/>
        <family val="2"/>
        <charset val="238"/>
        <scheme val="none"/>
      </font>
    </dxf>
    <dxf>
      <font>
        <b val="0"/>
        <i val="0"/>
        <strike val="0"/>
        <condense val="0"/>
        <extend val="0"/>
        <outline val="0"/>
        <shadow val="0"/>
        <u val="none"/>
        <vertAlign val="baseline"/>
        <sz val="10"/>
        <color theme="1"/>
        <name val="Arial"/>
        <family val="2"/>
        <charset val="238"/>
        <scheme val="none"/>
      </font>
    </dxf>
    <dxf>
      <font>
        <b val="0"/>
        <i val="0"/>
        <strike val="0"/>
        <condense val="0"/>
        <extend val="0"/>
        <outline val="0"/>
        <shadow val="0"/>
        <u val="none"/>
        <vertAlign val="baseline"/>
        <sz val="10"/>
        <color theme="1"/>
        <name val="Arial"/>
        <family val="2"/>
        <charset val="238"/>
        <scheme val="none"/>
      </font>
    </dxf>
    <dxf>
      <font>
        <b val="0"/>
        <i val="0"/>
        <strike val="0"/>
        <condense val="0"/>
        <extend val="0"/>
        <outline val="0"/>
        <shadow val="0"/>
        <u val="none"/>
        <vertAlign val="baseline"/>
        <sz val="10"/>
        <color theme="1"/>
        <name val="Arial"/>
        <family val="2"/>
        <charset val="238"/>
        <scheme val="none"/>
      </font>
    </dxf>
    <dxf>
      <font>
        <b val="0"/>
        <i val="0"/>
        <strike val="0"/>
        <condense val="0"/>
        <extend val="0"/>
        <outline val="0"/>
        <shadow val="0"/>
        <u val="none"/>
        <vertAlign val="baseline"/>
        <sz val="10"/>
        <color theme="1"/>
        <name val="Arial"/>
        <family val="2"/>
        <charset val="238"/>
        <scheme val="none"/>
      </font>
    </dxf>
    <dxf>
      <font>
        <b val="0"/>
        <i val="0"/>
        <strike val="0"/>
        <condense val="0"/>
        <extend val="0"/>
        <outline val="0"/>
        <shadow val="0"/>
        <u val="none"/>
        <vertAlign val="baseline"/>
        <sz val="10"/>
        <color theme="1"/>
        <name val="Arial"/>
        <family val="2"/>
        <charset val="238"/>
        <scheme val="none"/>
      </font>
    </dxf>
    <dxf>
      <border outline="0">
        <bottom style="thin">
          <color theme="1"/>
        </bottom>
      </border>
    </dxf>
    <dxf>
      <font>
        <b val="0"/>
        <i val="0"/>
        <strike val="0"/>
        <condense val="0"/>
        <extend val="0"/>
        <outline val="0"/>
        <shadow val="0"/>
        <u val="none"/>
        <vertAlign val="baseline"/>
        <sz val="10"/>
        <color theme="1"/>
        <name val="Arial"/>
        <family val="2"/>
        <charset val="238"/>
        <scheme val="none"/>
      </font>
    </dxf>
    <dxf>
      <font>
        <b/>
        <i val="0"/>
        <strike val="0"/>
        <condense val="0"/>
        <extend val="0"/>
        <outline val="0"/>
        <shadow val="0"/>
        <u val="none"/>
        <vertAlign val="baseline"/>
        <sz val="10"/>
        <color auto="1"/>
        <name val="Arial Narrow"/>
        <family val="2"/>
        <scheme val="none"/>
      </font>
      <fill>
        <patternFill patternType="solid">
          <fgColor indexed="64"/>
          <bgColor indexed="45"/>
        </patternFill>
      </fill>
      <alignment horizontal="center" vertical="top" textRotation="0" wrapText="1" indent="0" justifyLastLine="0" shrinkToFit="0" readingOrder="0"/>
      <border diagonalUp="0" diagonalDown="0" outline="0">
        <left style="thick">
          <color indexed="9"/>
        </left>
        <right style="thick">
          <color indexed="9"/>
        </right>
        <top/>
        <bottom/>
      </border>
    </dxf>
    <dxf>
      <font>
        <b val="0"/>
        <i val="0"/>
        <strike val="0"/>
        <condense val="0"/>
        <extend val="0"/>
        <outline val="0"/>
        <shadow val="0"/>
        <u val="none"/>
        <vertAlign val="baseline"/>
        <sz val="10"/>
        <color auto="1"/>
        <name val="Arial"/>
        <scheme val="none"/>
      </font>
      <numFmt numFmtId="166" formatCode="_(* #,##0_);_(* \(#,##0\);_(* &quot;-&quot;??_);_(@_)"/>
    </dxf>
    <dxf>
      <font>
        <b val="0"/>
        <i val="0"/>
        <strike val="0"/>
        <condense val="0"/>
        <extend val="0"/>
        <outline val="0"/>
        <shadow val="0"/>
        <u val="none"/>
        <vertAlign val="baseline"/>
        <sz val="10"/>
        <color auto="1"/>
        <name val="Arial"/>
        <scheme val="none"/>
      </font>
      <numFmt numFmtId="166" formatCode="_(* #,##0_);_(* \(#,##0\);_(* &quot;-&quot;??_);_(@_)"/>
    </dxf>
    <dxf>
      <font>
        <b val="0"/>
        <i val="0"/>
        <strike val="0"/>
        <condense val="0"/>
        <extend val="0"/>
        <outline val="0"/>
        <shadow val="0"/>
        <u val="none"/>
        <vertAlign val="baseline"/>
        <sz val="10"/>
        <color auto="1"/>
        <name val="Arial"/>
        <scheme val="none"/>
      </font>
      <numFmt numFmtId="166" formatCode="_(* #,##0_);_(* \(#,##0\);_(* &quot;-&quot;??_);_(@_)"/>
    </dxf>
    <dxf>
      <border outline="0">
        <top style="thin">
          <color indexed="64"/>
        </top>
      </border>
    </dxf>
    <dxf>
      <font>
        <b val="0"/>
        <i val="0"/>
        <strike val="0"/>
        <condense val="0"/>
        <extend val="0"/>
        <outline val="0"/>
        <shadow val="0"/>
        <u val="none"/>
        <vertAlign val="baseline"/>
        <sz val="10"/>
        <color auto="1"/>
        <name val="Arial"/>
        <scheme val="none"/>
      </font>
    </dxf>
    <dxf>
      <font>
        <b/>
        <i val="0"/>
        <strike val="0"/>
        <condense val="0"/>
        <extend val="0"/>
        <outline val="0"/>
        <shadow val="0"/>
        <u val="none"/>
        <vertAlign val="baseline"/>
        <sz val="10"/>
        <color auto="1"/>
        <name val="Arial Narrow"/>
        <family val="2"/>
        <scheme val="none"/>
      </font>
      <fill>
        <patternFill patternType="solid">
          <fgColor indexed="64"/>
          <bgColor indexed="45"/>
        </patternFill>
      </fill>
      <alignment horizontal="center" vertical="top" textRotation="0" wrapText="1" indent="0" justifyLastLine="0" shrinkToFit="0" readingOrder="0"/>
      <border diagonalUp="0" diagonalDown="0" outline="0">
        <left style="thick">
          <color indexed="9"/>
        </left>
        <right style="thick">
          <color indexed="9"/>
        </right>
        <top/>
        <bottom/>
      </border>
    </dxf>
    <dxf>
      <font>
        <b val="0"/>
        <i val="0"/>
        <strike val="0"/>
        <condense val="0"/>
        <extend val="0"/>
        <outline val="0"/>
        <shadow val="0"/>
        <u val="none"/>
        <vertAlign val="baseline"/>
        <sz val="10"/>
        <color auto="1"/>
        <name val="Arial"/>
        <scheme val="none"/>
      </font>
      <numFmt numFmtId="166" formatCode="_(* #,##0_);_(* \(#,##0\);_(* &quot;-&quot;??_);_(@_)"/>
    </dxf>
    <dxf>
      <font>
        <b val="0"/>
        <i val="0"/>
        <strike val="0"/>
        <condense val="0"/>
        <extend val="0"/>
        <outline val="0"/>
        <shadow val="0"/>
        <u val="none"/>
        <vertAlign val="baseline"/>
        <sz val="10"/>
        <color auto="1"/>
        <name val="Arial"/>
        <scheme val="none"/>
      </font>
      <numFmt numFmtId="166" formatCode="_(* #,##0_);_(* \(#,##0\);_(* &quot;-&quot;??_);_(@_)"/>
    </dxf>
    <dxf>
      <font>
        <b val="0"/>
        <i val="0"/>
        <strike val="0"/>
        <condense val="0"/>
        <extend val="0"/>
        <outline val="0"/>
        <shadow val="0"/>
        <u val="none"/>
        <vertAlign val="baseline"/>
        <sz val="10"/>
        <color auto="1"/>
        <name val="Arial"/>
        <scheme val="none"/>
      </font>
      <numFmt numFmtId="166" formatCode="_(* #,##0_);_(* \(#,##0\);_(* &quot;-&quot;??_);_(@_)"/>
    </dxf>
    <dxf>
      <border outline="0">
        <top style="thin">
          <color indexed="64"/>
        </top>
      </border>
    </dxf>
    <dxf>
      <font>
        <b val="0"/>
        <i val="0"/>
        <strike val="0"/>
        <condense val="0"/>
        <extend val="0"/>
        <outline val="0"/>
        <shadow val="0"/>
        <u val="none"/>
        <vertAlign val="baseline"/>
        <sz val="10"/>
        <color auto="1"/>
        <name val="Arial"/>
        <scheme val="none"/>
      </font>
    </dxf>
    <dxf>
      <font>
        <b/>
        <i val="0"/>
        <strike val="0"/>
        <condense val="0"/>
        <extend val="0"/>
        <outline val="0"/>
        <shadow val="0"/>
        <u val="none"/>
        <vertAlign val="baseline"/>
        <sz val="10"/>
        <color auto="1"/>
        <name val="Arial Narrow"/>
        <family val="2"/>
        <scheme val="none"/>
      </font>
      <fill>
        <patternFill patternType="solid">
          <fgColor indexed="64"/>
          <bgColor indexed="45"/>
        </patternFill>
      </fill>
      <alignment horizontal="center" vertical="top" textRotation="0" wrapText="1" indent="0" justifyLastLine="0" shrinkToFit="0" readingOrder="0"/>
      <border diagonalUp="0" diagonalDown="0" outline="0">
        <left style="thick">
          <color indexed="9"/>
        </left>
        <right style="thick">
          <color indexed="9"/>
        </right>
        <top/>
        <bottom/>
      </border>
    </dxf>
    <dxf>
      <numFmt numFmtId="19" formatCode="dd/mm/yyyy"/>
    </dxf>
    <dxf>
      <numFmt numFmtId="19" formatCode="dd/mm/yyyy"/>
    </dxf>
    <dxf>
      <numFmt numFmtId="19" formatCode="dd/mm/yyyy"/>
    </dxf>
    <dxf>
      <numFmt numFmtId="3" formatCode="#,##0"/>
    </dxf>
    <dxf>
      <numFmt numFmtId="3" formatCode="#,##0"/>
    </dxf>
    <dxf>
      <numFmt numFmtId="3" formatCode="#,##0"/>
    </dxf>
    <dxf>
      <numFmt numFmtId="3" formatCode="#,##0"/>
    </dxf>
    <dxf>
      <numFmt numFmtId="1" formatCode="0"/>
    </dxf>
    <dxf>
      <border outline="0">
        <top style="thin">
          <color indexed="64"/>
        </top>
      </border>
    </dxf>
    <dxf>
      <font>
        <b/>
        <i val="0"/>
        <strike val="0"/>
        <condense val="0"/>
        <extend val="0"/>
        <outline val="0"/>
        <shadow val="0"/>
        <u val="none"/>
        <vertAlign val="baseline"/>
        <sz val="10"/>
        <color auto="1"/>
        <name val="Arial Narrow"/>
        <family val="2"/>
        <scheme val="none"/>
      </font>
      <fill>
        <patternFill patternType="solid">
          <fgColor indexed="64"/>
          <bgColor indexed="45"/>
        </patternFill>
      </fill>
      <alignment horizontal="center" vertical="top" textRotation="0" wrapText="1" indent="0" justifyLastLine="0" shrinkToFit="0" readingOrder="0"/>
      <border diagonalUp="0" diagonalDown="0" outline="0">
        <left style="thick">
          <color indexed="9"/>
        </left>
        <right style="thick">
          <color indexed="9"/>
        </right>
        <top/>
        <bottom/>
      </border>
    </dxf>
    <dxf>
      <font>
        <b val="0"/>
        <i val="0"/>
        <strike val="0"/>
        <condense val="0"/>
        <extend val="0"/>
        <outline val="0"/>
        <shadow val="0"/>
        <u val="none"/>
        <vertAlign val="baseline"/>
        <sz val="10"/>
        <color auto="1"/>
        <name val="Arial"/>
        <scheme val="none"/>
      </font>
      <numFmt numFmtId="166" formatCode="_(* #,##0_);_(* \(#,##0\);_(* &quot;-&quot;??_);_(@_)"/>
    </dxf>
    <dxf>
      <font>
        <b val="0"/>
        <i val="0"/>
        <strike val="0"/>
        <condense val="0"/>
        <extend val="0"/>
        <outline val="0"/>
        <shadow val="0"/>
        <u val="none"/>
        <vertAlign val="baseline"/>
        <sz val="10"/>
        <color auto="1"/>
        <name val="Arial"/>
        <scheme val="none"/>
      </font>
      <numFmt numFmtId="166" formatCode="_(* #,##0_);_(* \(#,##0\);_(* &quot;-&quot;??_);_(@_)"/>
    </dxf>
    <dxf>
      <font>
        <b val="0"/>
        <i val="0"/>
        <strike val="0"/>
        <condense val="0"/>
        <extend val="0"/>
        <outline val="0"/>
        <shadow val="0"/>
        <u val="none"/>
        <vertAlign val="baseline"/>
        <sz val="10"/>
        <color auto="1"/>
        <name val="Arial"/>
        <scheme val="none"/>
      </font>
      <numFmt numFmtId="166" formatCode="_(* #,##0_);_(* \(#,##0\);_(* &quot;-&quot;??_);_(@_)"/>
    </dxf>
    <dxf>
      <border outline="0">
        <top style="thin">
          <color indexed="64"/>
        </top>
      </border>
    </dxf>
    <dxf>
      <font>
        <b val="0"/>
        <i val="0"/>
        <strike val="0"/>
        <condense val="0"/>
        <extend val="0"/>
        <outline val="0"/>
        <shadow val="0"/>
        <u val="none"/>
        <vertAlign val="baseline"/>
        <sz val="10"/>
        <color auto="1"/>
        <name val="Arial"/>
        <scheme val="none"/>
      </font>
    </dxf>
    <dxf>
      <font>
        <b/>
        <i val="0"/>
        <strike val="0"/>
        <condense val="0"/>
        <extend val="0"/>
        <outline val="0"/>
        <shadow val="0"/>
        <u val="none"/>
        <vertAlign val="baseline"/>
        <sz val="10"/>
        <color auto="1"/>
        <name val="Arial Narrow"/>
        <family val="2"/>
        <scheme val="none"/>
      </font>
      <fill>
        <patternFill patternType="solid">
          <fgColor indexed="64"/>
          <bgColor indexed="45"/>
        </patternFill>
      </fill>
      <alignment horizontal="center" vertical="top" textRotation="0" wrapText="1" indent="0" justifyLastLine="0" shrinkToFit="0" readingOrder="0"/>
      <border diagonalUp="0" diagonalDown="0" outline="0">
        <left style="thick">
          <color indexed="9"/>
        </left>
        <right style="thick">
          <color indexed="9"/>
        </right>
        <top/>
        <bottom/>
      </border>
    </dxf>
    <dxf>
      <font>
        <b val="0"/>
        <i val="0"/>
        <strike val="0"/>
        <condense val="0"/>
        <extend val="0"/>
        <outline val="0"/>
        <shadow val="0"/>
        <u val="none"/>
        <vertAlign val="baseline"/>
        <sz val="10"/>
        <color auto="1"/>
        <name val="Arial"/>
        <scheme val="none"/>
      </font>
      <numFmt numFmtId="166" formatCode="_(* #,##0_);_(* \(#,##0\);_(* &quot;-&quot;??_);_(@_)"/>
    </dxf>
    <dxf>
      <font>
        <b val="0"/>
        <i val="0"/>
        <strike val="0"/>
        <condense val="0"/>
        <extend val="0"/>
        <outline val="0"/>
        <shadow val="0"/>
        <u val="none"/>
        <vertAlign val="baseline"/>
        <sz val="10"/>
        <color auto="1"/>
        <name val="Arial"/>
        <scheme val="none"/>
      </font>
      <numFmt numFmtId="166" formatCode="_(* #,##0_);_(* \(#,##0\);_(* &quot;-&quot;??_);_(@_)"/>
    </dxf>
    <dxf>
      <font>
        <b val="0"/>
        <i val="0"/>
        <strike val="0"/>
        <condense val="0"/>
        <extend val="0"/>
        <outline val="0"/>
        <shadow val="0"/>
        <u val="none"/>
        <vertAlign val="baseline"/>
        <sz val="10"/>
        <color auto="1"/>
        <name val="Arial"/>
        <scheme val="none"/>
      </font>
      <numFmt numFmtId="166" formatCode="_(* #,##0_);_(* \(#,##0\);_(* &quot;-&quot;??_);_(@_)"/>
    </dxf>
    <dxf>
      <border outline="0">
        <top style="thin">
          <color indexed="64"/>
        </top>
      </border>
    </dxf>
    <dxf>
      <font>
        <b val="0"/>
        <i val="0"/>
        <strike val="0"/>
        <condense val="0"/>
        <extend val="0"/>
        <outline val="0"/>
        <shadow val="0"/>
        <u val="none"/>
        <vertAlign val="baseline"/>
        <sz val="10"/>
        <color auto="1"/>
        <name val="Arial"/>
        <scheme val="none"/>
      </font>
    </dxf>
    <dxf>
      <font>
        <b/>
        <i val="0"/>
        <strike val="0"/>
        <condense val="0"/>
        <extend val="0"/>
        <outline val="0"/>
        <shadow val="0"/>
        <u val="none"/>
        <vertAlign val="baseline"/>
        <sz val="10"/>
        <color auto="1"/>
        <name val="Arial Narrow"/>
        <family val="2"/>
        <scheme val="none"/>
      </font>
      <fill>
        <patternFill patternType="solid">
          <fgColor indexed="64"/>
          <bgColor indexed="45"/>
        </patternFill>
      </fill>
      <alignment horizontal="center" vertical="top" textRotation="0" wrapText="1" indent="0" justifyLastLine="0" shrinkToFit="0" readingOrder="0"/>
      <border diagonalUp="0" diagonalDown="0" outline="0">
        <left style="thick">
          <color indexed="9"/>
        </left>
        <right style="thick">
          <color indexed="9"/>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F1EDE3"/>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E1D8C5"/>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10.0.0.19\Sdileni\06%20EKO\NOVA%20STRUKTURA%20DISKU%20EKO\02-PRACOVN&#205;%20SLO&#381;KY\SL\Risk%20Management%20Tools\Identification\Katalog_rizik.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0.0.19\Sdileni\06%20EKO\NOVA%20STRUKTURA%20DISKU%20EKO\02-PRACOVN&#205;%20SLO&#381;KY\SL\Risk%20Management%20Tools\Identification\Kopie%20-%20Katalog%20kontrol%20(2)Kamila.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0.0.19\Sdileni\06%20EKO\NOVA%20STRUKTURA%20DISKU%20EKO\02-PRACOVN&#205;%20SLO&#381;KY\SL\Risk%20Management%20Tools\Identification\Katalog%20kontro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talog rizik"/>
      <sheetName val="Legenda"/>
      <sheetName val="Data sheet"/>
    </sheetNames>
    <sheetDataSet>
      <sheetData sheetId="0"/>
      <sheetData sheetId="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ontroly"/>
      <sheetName val="KategorieKontroly"/>
      <sheetName val="Číselníky"/>
    </sheetNames>
    <sheetDataSet>
      <sheetData sheetId="0" refreshError="1"/>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ontroly"/>
      <sheetName val="KategorieKontroly"/>
      <sheetName val="Číselníky"/>
    </sheetNames>
    <sheetDataSet>
      <sheetData sheetId="0"/>
      <sheetData sheetId="1"/>
      <sheetData sheetId="2"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lak Vojtech" refreshedDate="45897.410932754632" createdVersion="8" refreshedVersion="8" minRefreshableVersion="3" recordCount="100" xr:uid="{DDB82425-418A-4321-BDEE-993C059BC91A}">
  <cacheSource type="worksheet">
    <worksheetSource name="Table4"/>
  </cacheSource>
  <cacheFields count="13">
    <cacheField name="ID" numFmtId="0">
      <sharedItems containsString="0" containsBlank="1" containsNumber="1" containsInteger="1" minValue="1" maxValue="32"/>
    </cacheField>
    <cacheField name="Hlavní proces" numFmtId="0">
      <sharedItems containsBlank="1"/>
    </cacheField>
    <cacheField name="Podproces" numFmtId="0">
      <sharedItems containsBlank="1"/>
    </cacheField>
    <cacheField name="Druh rizika (podle OS 18)" numFmtId="0">
      <sharedItems containsBlank="1" count="12">
        <s v="Upisovací"/>
        <s v="Tržní riziko"/>
        <s v="Riziko selhání protistrany"/>
        <s v="Externí krádeže a podvody"/>
        <m/>
        <s v="Interní krádeže a podvody"/>
        <s v="Personální politika a bezpečnost práce"/>
        <s v="Klienti, produkty a obchod"/>
        <s v="Poškození hmotných aktiv"/>
        <s v="Přerušení provozu a selhání systémů"/>
        <s v="Dodávky, služby, procesy"/>
        <s v="Solvency II"/>
      </sharedItems>
    </cacheField>
    <cacheField name="Solvency II risk category" numFmtId="0">
      <sharedItems count="5">
        <s v="Neživotní upisovací riziko"/>
        <s v="Zdravotní upisovací riziko"/>
        <s v="Tržní riziko"/>
        <s v="Riziko selhání protistrany"/>
        <s v="Operační"/>
      </sharedItems>
    </cacheField>
    <cacheField name="Klíčová rizika - popis" numFmtId="0">
      <sharedItems containsBlank="1" count="52">
        <s v="Opoždění škod (platební schéma)"/>
        <s v="Riziko pojistného"/>
        <s v="Riziko technických rezerv"/>
        <s v="Rizika přírodních pohrom "/>
        <s v="Riziko požáru"/>
        <s v="Automobilové riziko"/>
        <s v="Úvěrové a záruční riziko"/>
        <s v="Odpovědnostní riziko"/>
        <s v="Koncentrace upisovacích rizik"/>
        <s v="Riziko pojistného a rezerv"/>
        <s v="Riziko hromadného úrazu"/>
        <s v="Riziko pandemie"/>
        <s v="Liquidity"/>
        <s v="Riziko protistrany"/>
        <s v="FX riziko"/>
        <s v="IR risk"/>
        <s v="Concentration risk"/>
        <s v="SII Ukazatele"/>
        <s v="Pohledávky"/>
        <s v="Zajištení"/>
        <s v="Bežné účty"/>
        <s v="SII "/>
        <s v="Krádeže aktiv společnosti"/>
        <s v="Pojistné podvody"/>
        <s v="Zneužití  identity"/>
        <s v="Externí neoprávněný přístup"/>
        <s v="Znežití dat"/>
        <m/>
        <s v="Počítačové viry, hacking, phising, atď.."/>
        <s v="Interní krádež"/>
        <s v="Korupční chování"/>
        <s v="Neoprávnená činnost"/>
        <s v="Interní neoprávněný přístup"/>
        <s v="Narušení bezpečnosti systémů"/>
        <s v="Pracově-právní spory"/>
        <s v="Stávky"/>
        <s v="Pokuty při porušení norem"/>
        <s v="Kompenzace za úrazy"/>
        <s v="Chyby při náboru zaměstanců"/>
        <s v="Fluktuace zaměstanců"/>
        <s v="Nelicencovaná činnost"/>
        <s v="Chyby produktové dokumentace"/>
        <s v="Neusoulad s legislativou"/>
        <s v="Přírodní, průmyslové katastrofy, terrorizmus"/>
        <s v="Nemožnost přístupu do budovy centrály"/>
        <s v="Nedostatek zamestnanců"/>
        <s v="Selhání systémů, HW, SW, telco"/>
        <s v="Selhání klíčového dodavatele služeb"/>
        <s v="Chyby při spracování transakcí"/>
        <s v="Chyby při jednání s dodavateli"/>
        <s v="Chyby monitoringu a reportingu"/>
        <s v="Chyby ve smluvních dokumentech"/>
      </sharedItems>
    </cacheField>
    <cacheField name="Vlastník rizka, Odpovedná osoba" numFmtId="0">
      <sharedItems containsBlank="1" count="17">
        <s v="Ředitel LPU"/>
        <s v="Ředitel úseku flotil_x000a_a vývoje produktu"/>
        <s v="Ředitel UW"/>
        <s v="Obchodní ředitel"/>
        <s v="Finančný ředitel"/>
        <s v="Finační ředitel"/>
        <s v="Ředitelka Klientského centra"/>
        <s v="Finanční ředitel"/>
        <s v="Facility manager"/>
        <s v="Reditel LPU"/>
        <s v="IT manager"/>
        <m/>
        <s v="Vlastník Procesu, manažer úseku"/>
        <s v="IT/Security manager"/>
        <s v="GŘ"/>
        <s v="Facility manager/správa budovy"/>
        <s v="BCM"/>
      </sharedItems>
    </cacheField>
    <cacheField name="Odpovedná osoba provádejíci kontrolu" numFmtId="0">
      <sharedItems containsBlank="1" count="14">
        <s v="Ředitel LPU"/>
        <s v="Ředitel úseku flotil_x000a_a vývoje produktu"/>
        <s v="MŘR"/>
        <s v="Ředitel UW"/>
        <s v="Obchodní ředitel"/>
        <s v="Ředitelka Klientského centra"/>
        <s v="Facility manager"/>
        <s v="Compliance officer"/>
        <s v="Bezpěčnostný manažer"/>
        <s v="Security manager"/>
        <s v="BCM"/>
        <s v="HR"/>
        <m/>
        <s v="Vlastník Procesu, manažer úseku"/>
      </sharedItems>
    </cacheField>
    <cacheField name="Metrika" numFmtId="0">
      <sharedItems/>
    </cacheField>
    <cacheField name="Hodnota" numFmtId="0">
      <sharedItems containsBlank="1" containsMixedTypes="1" containsNumber="1" minValue="0" maxValue="15000000000"/>
    </cacheField>
    <cacheField name="Dolní limit" numFmtId="0">
      <sharedItems containsBlank="1" containsMixedTypes="1" containsNumber="1" minValue="0" maxValue="400000000"/>
    </cacheField>
    <cacheField name="Horní limit" numFmtId="0">
      <sharedItems containsMixedTypes="1" containsNumber="1" minValue="0" maxValue="15000000000"/>
    </cacheField>
    <cacheField name="Column1" numFmtId="166">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
    <s v="Likvidace pojistných událostí"/>
    <s v="Rezerving"/>
    <x v="0"/>
    <x v="0"/>
    <x v="0"/>
    <x v="0"/>
    <x v="0"/>
    <s v="Payment pattern, vyplata v % z ultimate za 2 roky"/>
    <n v="0.67179999999999995"/>
    <n v="0.65"/>
    <n v="0.75"/>
    <m/>
  </r>
  <r>
    <n v="2"/>
    <s v="Vývoj nových produktů"/>
    <s v="Pricing"/>
    <x v="0"/>
    <x v="0"/>
    <x v="1"/>
    <x v="1"/>
    <x v="1"/>
    <s v="Sufficiency %"/>
    <n v="0.28100000000000003"/>
    <n v="0.25"/>
    <n v="0.33"/>
    <m/>
  </r>
  <r>
    <n v="3"/>
    <s v="Riziko technickych rezerv"/>
    <s v="Rezerving"/>
    <x v="0"/>
    <x v="0"/>
    <x v="2"/>
    <x v="0"/>
    <x v="0"/>
    <s v="24m celkový RunOff %"/>
    <n v="0.13"/>
    <n v="0.05"/>
    <n v="0.2"/>
    <m/>
  </r>
  <r>
    <n v="4"/>
    <s v="Prodej"/>
    <m/>
    <x v="0"/>
    <x v="0"/>
    <x v="3"/>
    <x v="2"/>
    <x v="2"/>
    <s v="Odhadovaná hrubá škoda při vichřici"/>
    <n v="55866287.844539039"/>
    <n v="0"/>
    <n v="80000000"/>
    <m/>
  </r>
  <r>
    <m/>
    <s v="Prodej"/>
    <m/>
    <x v="0"/>
    <x v="0"/>
    <x v="3"/>
    <x v="2"/>
    <x v="2"/>
    <s v="Odhadovaná hrubá škoda při záplavě"/>
    <n v="316915550.59491694"/>
    <n v="0"/>
    <n v="400000000"/>
    <m/>
  </r>
  <r>
    <m/>
    <s v="Prodej"/>
    <m/>
    <x v="0"/>
    <x v="0"/>
    <x v="3"/>
    <x v="2"/>
    <x v="2"/>
    <s v="Odhadovaná hrubá škoda při krupobití"/>
    <n v="26629678.726202164"/>
    <n v="0"/>
    <n v="30000000"/>
    <m/>
  </r>
  <r>
    <m/>
    <s v="Prodej"/>
    <m/>
    <x v="0"/>
    <x v="0"/>
    <x v="3"/>
    <x v="2"/>
    <x v="2"/>
    <s v="Odhadovaná hrubá škoda při EQ"/>
    <n v="40671369.729793914"/>
    <n v="0"/>
    <n v="50000000"/>
    <m/>
  </r>
  <r>
    <m/>
    <s v="Prodej"/>
    <m/>
    <x v="0"/>
    <x v="0"/>
    <x v="3"/>
    <x v="2"/>
    <x v="2"/>
    <s v="Čistá škoda z rizika přírodních pohrom "/>
    <n v="85083667"/>
    <n v="0"/>
    <n v="110000000"/>
    <m/>
  </r>
  <r>
    <n v="5"/>
    <s v="Prodej"/>
    <s v="Úpis"/>
    <x v="0"/>
    <x v="0"/>
    <x v="4"/>
    <x v="2"/>
    <x v="3"/>
    <s v="Pojistná částka největší koncentrace rizika požáru"/>
    <n v="2414273438"/>
    <n v="0"/>
    <n v="2500000000"/>
    <m/>
  </r>
  <r>
    <n v="6"/>
    <s v="Prodej"/>
    <s v="Úpis"/>
    <x v="0"/>
    <x v="0"/>
    <x v="5"/>
    <x v="1"/>
    <x v="2"/>
    <s v="Počet pojištěných vozidel s limitem &gt; 24 mil. EUR"/>
    <n v="100775.35373800551"/>
    <n v="0"/>
    <n v="150000000"/>
    <m/>
  </r>
  <r>
    <m/>
    <s v="Prodej"/>
    <s v="Úpis"/>
    <x v="0"/>
    <x v="0"/>
    <x v="5"/>
    <x v="1"/>
    <x v="2"/>
    <s v="Počet pojištěných vozidel s limitem &lt; 24 mil. EUR"/>
    <n v="76903.646261994509"/>
    <n v="0"/>
    <n v="100000000"/>
    <m/>
  </r>
  <r>
    <n v="7"/>
    <s v="Prodej"/>
    <s v="Úpis"/>
    <x v="0"/>
    <x v="0"/>
    <x v="6"/>
    <x v="2"/>
    <x v="3"/>
    <s v="Součet dvouch najvyšších expozic"/>
    <n v="680000000"/>
    <n v="0"/>
    <n v="700000000"/>
    <m/>
  </r>
  <r>
    <n v="8"/>
    <s v="Prodej"/>
    <s v="Úpis"/>
    <x v="0"/>
    <x v="0"/>
    <x v="7"/>
    <x v="2"/>
    <x v="2"/>
    <s v="Suma hrubých škod z SII modelu"/>
    <n v="58000000"/>
    <n v="0"/>
    <n v="70000000"/>
    <m/>
  </r>
  <r>
    <n v="9"/>
    <s v="Prodej"/>
    <s v="Úpis"/>
    <x v="0"/>
    <x v="0"/>
    <x v="8"/>
    <x v="3"/>
    <x v="4"/>
    <s v="Nej koncentrace dle LoB"/>
    <n v="0.54"/>
    <n v="0.3"/>
    <n v="0.6"/>
    <m/>
  </r>
  <r>
    <n v="10"/>
    <s v="Riziko technickych rezerv"/>
    <s v="Rezerving"/>
    <x v="0"/>
    <x v="0"/>
    <x v="9"/>
    <x v="4"/>
    <x v="2"/>
    <s v="Riziko pojistného a rezerv dle SII"/>
    <n v="158228330.23981619"/>
    <n v="140000000"/>
    <n v="180000000"/>
    <m/>
  </r>
  <r>
    <n v="1"/>
    <s v="Likvidace pojistných událostí"/>
    <s v="Rezerving"/>
    <x v="0"/>
    <x v="1"/>
    <x v="0"/>
    <x v="0"/>
    <x v="0"/>
    <s v="Payment pattern, vyplata v % z ultimate za 2 roky"/>
    <n v="0.67179999999999995"/>
    <n v="0.65"/>
    <n v="0.75"/>
    <m/>
  </r>
  <r>
    <n v="2"/>
    <s v="Vývoj nových produktů"/>
    <s v="Pricing"/>
    <x v="0"/>
    <x v="1"/>
    <x v="1"/>
    <x v="1"/>
    <x v="1"/>
    <s v="Sufficiency %"/>
    <n v="0.26200000000000001"/>
    <n v="0.25"/>
    <n v="0.33"/>
    <m/>
  </r>
  <r>
    <n v="3"/>
    <s v="Riziko technickych rezerv"/>
    <s v="Rezerving"/>
    <x v="0"/>
    <x v="1"/>
    <x v="2"/>
    <x v="0"/>
    <x v="0"/>
    <s v="24m celkový RunOff %"/>
    <n v="0.1"/>
    <n v="0"/>
    <n v="0.2"/>
    <m/>
  </r>
  <r>
    <n v="4"/>
    <s v="Prodej"/>
    <s v="Underwriting"/>
    <x v="0"/>
    <x v="1"/>
    <x v="10"/>
    <x v="1"/>
    <x v="2"/>
    <s v="Průměrná pojistná částka"/>
    <n v="1562105.7460715328"/>
    <n v="0"/>
    <n v="2000000"/>
    <m/>
  </r>
  <r>
    <m/>
    <s v="Prodej"/>
    <s v="Underwriting"/>
    <x v="0"/>
    <x v="1"/>
    <x v="10"/>
    <x v="1"/>
    <x v="2"/>
    <s v="Počet pojištených"/>
    <n v="19513.48971359419"/>
    <n v="15000"/>
    <n v="25000"/>
    <m/>
  </r>
  <r>
    <n v="5"/>
    <s v="Prodej"/>
    <s v="Underwriting"/>
    <x v="0"/>
    <x v="1"/>
    <x v="11"/>
    <x v="1"/>
    <x v="2"/>
    <s v="Očekávaná průměrná výše měsíční platby"/>
    <n v="37500"/>
    <n v="30000"/>
    <n v="50000"/>
    <m/>
  </r>
  <r>
    <m/>
    <s v="Prodej"/>
    <s v="Underwriting"/>
    <x v="0"/>
    <x v="1"/>
    <x v="11"/>
    <x v="1"/>
    <x v="2"/>
    <s v="Počet obyvatelů s krytím"/>
    <n v="17121"/>
    <n v="10000"/>
    <n v="30000"/>
    <m/>
  </r>
  <r>
    <n v="6"/>
    <s v="Riziko technickych rezerv"/>
    <s v="Rezerving"/>
    <x v="0"/>
    <x v="1"/>
    <x v="9"/>
    <x v="4"/>
    <x v="2"/>
    <s v="Riziko pojistného a rezerv dle SII"/>
    <n v="38000000"/>
    <n v="30000000"/>
    <n v="50000000"/>
    <m/>
  </r>
  <r>
    <n v="1"/>
    <s v="Tržní riziko"/>
    <m/>
    <x v="1"/>
    <x v="2"/>
    <x v="12"/>
    <x v="5"/>
    <x v="2"/>
    <s v="Horizont přežití"/>
    <n v="8"/>
    <n v="3"/>
    <n v="10"/>
    <m/>
  </r>
  <r>
    <m/>
    <s v="Tržní riziko"/>
    <m/>
    <x v="1"/>
    <x v="2"/>
    <x v="12"/>
    <x v="5"/>
    <x v="2"/>
    <s v="Hotovost"/>
    <n v="156000000"/>
    <n v="80000000"/>
    <n v="200000000"/>
    <m/>
  </r>
  <r>
    <n v="2"/>
    <s v="Tržní riziko"/>
    <m/>
    <x v="1"/>
    <x v="2"/>
    <x v="13"/>
    <x v="5"/>
    <x v="2"/>
    <s v="Expozice AAA"/>
    <n v="134816247"/>
    <n v="100000000"/>
    <n v="9000000000"/>
    <m/>
  </r>
  <r>
    <m/>
    <s v="Tržní riziko"/>
    <m/>
    <x v="1"/>
    <x v="2"/>
    <x v="13"/>
    <x v="5"/>
    <x v="2"/>
    <s v="Expozice AA"/>
    <n v="0"/>
    <n v="0"/>
    <n v="9000000000"/>
    <m/>
  </r>
  <r>
    <m/>
    <s v="Tržní riziko"/>
    <m/>
    <x v="1"/>
    <x v="2"/>
    <x v="13"/>
    <x v="5"/>
    <x v="2"/>
    <s v="Expozice A"/>
    <n v="563966135"/>
    <n v="400000000"/>
    <n v="700000000"/>
    <m/>
  </r>
  <r>
    <m/>
    <s v="Tržní riziko"/>
    <m/>
    <x v="1"/>
    <x v="2"/>
    <x v="13"/>
    <x v="5"/>
    <x v="2"/>
    <s v="Expozice BBB"/>
    <n v="3605"/>
    <n v="0"/>
    <n v="300000000"/>
    <m/>
  </r>
  <r>
    <m/>
    <s v="Tržní riziko"/>
    <m/>
    <x v="1"/>
    <x v="2"/>
    <x v="13"/>
    <x v="5"/>
    <x v="2"/>
    <s v="Expozice BB"/>
    <m/>
    <n v="0"/>
    <n v="0"/>
    <m/>
  </r>
  <r>
    <m/>
    <s v="Tržní riziko"/>
    <m/>
    <x v="1"/>
    <x v="2"/>
    <x v="13"/>
    <x v="5"/>
    <x v="2"/>
    <s v="Expozice B"/>
    <m/>
    <n v="0"/>
    <n v="0"/>
    <m/>
  </r>
  <r>
    <m/>
    <s v="Tržní riziko"/>
    <m/>
    <x v="1"/>
    <x v="2"/>
    <x v="13"/>
    <x v="5"/>
    <x v="2"/>
    <s v="Expozice neratovaná"/>
    <n v="17161134"/>
    <n v="0"/>
    <n v="150000000"/>
    <m/>
  </r>
  <r>
    <n v="3"/>
    <s v="Tržní riziko"/>
    <m/>
    <x v="1"/>
    <x v="2"/>
    <x v="14"/>
    <x v="5"/>
    <x v="2"/>
    <s v="EUR expozice"/>
    <n v="0"/>
    <n v="0"/>
    <n v="0.05"/>
    <m/>
  </r>
  <r>
    <m/>
    <s v="Tržní riziko"/>
    <m/>
    <x v="1"/>
    <x v="2"/>
    <x v="14"/>
    <x v="5"/>
    <x v="2"/>
    <s v="USD expozice"/>
    <n v="0"/>
    <n v="0"/>
    <n v="0.05"/>
    <m/>
  </r>
  <r>
    <n v="4"/>
    <s v="Tržní riziko"/>
    <m/>
    <x v="1"/>
    <x v="2"/>
    <x v="15"/>
    <x v="5"/>
    <x v="2"/>
    <s v="Modifikovaná durace (roky) Korporátní dluhopisy"/>
    <n v="11.5"/>
    <n v="0"/>
    <n v="5"/>
    <m/>
  </r>
  <r>
    <m/>
    <s v="Tržní riziko"/>
    <m/>
    <x v="1"/>
    <x v="2"/>
    <x v="15"/>
    <x v="5"/>
    <x v="2"/>
    <s v="Modifikovaná durace (roky) Státní dluhopisy"/>
    <n v="2"/>
    <n v="0"/>
    <n v="5"/>
    <m/>
  </r>
  <r>
    <n v="5"/>
    <s v="Tržní riziko"/>
    <m/>
    <x v="1"/>
    <x v="2"/>
    <x v="16"/>
    <x v="5"/>
    <x v="2"/>
    <s v="Max Expozice vůči 1 protistraně - TV"/>
    <n v="123000000"/>
    <n v="0"/>
    <n v="150000000"/>
    <m/>
  </r>
  <r>
    <m/>
    <s v="Tržní riziko"/>
    <m/>
    <x v="1"/>
    <x v="2"/>
    <x v="16"/>
    <x v="5"/>
    <x v="2"/>
    <s v="Max Expozice vůči 1 protistraně - Korporátní dluhopisy"/>
    <n v="17161134"/>
    <n v="0"/>
    <n v="20000000"/>
    <m/>
  </r>
  <r>
    <m/>
    <s v="Tržní riziko"/>
    <m/>
    <x v="1"/>
    <x v="2"/>
    <x v="16"/>
    <x v="5"/>
    <x v="2"/>
    <s v="Max Expozice vůči 1 protistraně - akcie"/>
    <n v="0"/>
    <n v="0"/>
    <n v="15000000"/>
    <m/>
  </r>
  <r>
    <n v="5"/>
    <s v="Tržní riziko"/>
    <m/>
    <x v="1"/>
    <x v="2"/>
    <x v="16"/>
    <x v="5"/>
    <x v="2"/>
    <s v="Celková expozice - Nemovitosti"/>
    <n v="262440455"/>
    <n v="250000000"/>
    <n v="450000000"/>
    <m/>
  </r>
  <r>
    <m/>
    <s v="Tržní riziko"/>
    <m/>
    <x v="1"/>
    <x v="2"/>
    <x v="16"/>
    <x v="5"/>
    <x v="2"/>
    <s v="Celková expozice - Akcie"/>
    <n v="0"/>
    <n v="0"/>
    <n v="60000000"/>
    <m/>
  </r>
  <r>
    <m/>
    <s v="Tržní riziko"/>
    <m/>
    <x v="1"/>
    <x v="2"/>
    <x v="16"/>
    <x v="5"/>
    <x v="2"/>
    <s v="Celková expozice - Korporátní dluhopisy"/>
    <n v="17161134"/>
    <n v="0"/>
    <n v="100000000"/>
    <m/>
  </r>
  <r>
    <m/>
    <s v="Tržní riziko"/>
    <m/>
    <x v="1"/>
    <x v="2"/>
    <x v="16"/>
    <x v="5"/>
    <x v="2"/>
    <s v="Celková expozice - Státní dluhopisy"/>
    <n v="134816247"/>
    <n v="100000000"/>
    <n v="160000000"/>
    <m/>
  </r>
  <r>
    <m/>
    <s v="Tržní riziko"/>
    <m/>
    <x v="1"/>
    <x v="2"/>
    <x v="16"/>
    <x v="5"/>
    <x v="2"/>
    <s v="Celková expozice - TV"/>
    <n v="563966135"/>
    <n v="400000000"/>
    <n v="9000000000"/>
    <m/>
  </r>
  <r>
    <n v="5"/>
    <s v="Tržní riziko"/>
    <m/>
    <x v="1"/>
    <x v="2"/>
    <x v="17"/>
    <x v="5"/>
    <x v="2"/>
    <s v="Equity"/>
    <n v="0"/>
    <n v="0"/>
    <n v="50000000"/>
    <m/>
  </r>
  <r>
    <m/>
    <s v="Tržní riziko"/>
    <m/>
    <x v="1"/>
    <x v="2"/>
    <x v="17"/>
    <x v="5"/>
    <x v="2"/>
    <s v="Concentration"/>
    <n v="35348305"/>
    <n v="30000000"/>
    <n v="40000000"/>
    <m/>
  </r>
  <r>
    <m/>
    <s v="Tržní riziko"/>
    <m/>
    <x v="1"/>
    <x v="2"/>
    <x v="17"/>
    <x v="5"/>
    <x v="2"/>
    <s v="Spread"/>
    <n v="12235159"/>
    <n v="5000000"/>
    <n v="20000000"/>
    <m/>
  </r>
  <r>
    <m/>
    <s v="Tržní riziko"/>
    <m/>
    <x v="1"/>
    <x v="2"/>
    <x v="17"/>
    <x v="5"/>
    <x v="2"/>
    <s v="Property"/>
    <n v="67608740"/>
    <n v="10000000"/>
    <n v="90000000"/>
    <m/>
  </r>
  <r>
    <m/>
    <s v="Tržní riziko"/>
    <m/>
    <x v="1"/>
    <x v="2"/>
    <x v="17"/>
    <x v="5"/>
    <x v="2"/>
    <s v="FX"/>
    <n v="367377"/>
    <n v="0"/>
    <n v="10000000"/>
    <m/>
  </r>
  <r>
    <m/>
    <s v="Tržní riziko"/>
    <m/>
    <x v="1"/>
    <x v="2"/>
    <x v="17"/>
    <x v="5"/>
    <x v="2"/>
    <s v="Úrokové riziko"/>
    <n v="3712313"/>
    <n v="0"/>
    <n v="10000000"/>
    <m/>
  </r>
  <r>
    <n v="1"/>
    <s v="Riziko selhání protistrany"/>
    <m/>
    <x v="2"/>
    <x v="3"/>
    <x v="18"/>
    <x v="6"/>
    <x v="5"/>
    <s v="suma pohledávek se splatností do 3 měsíců"/>
    <n v="62151659.259999998"/>
    <n v="25000000"/>
    <n v="75000000"/>
    <m/>
  </r>
  <r>
    <m/>
    <m/>
    <m/>
    <x v="2"/>
    <x v="3"/>
    <x v="18"/>
    <x v="6"/>
    <x v="5"/>
    <s v="suma pohledávek se splatností více jak 3 měsíce"/>
    <n v="2324252.31"/>
    <n v="0"/>
    <n v="5000000"/>
    <m/>
  </r>
  <r>
    <n v="2"/>
    <s v="Riziko selhání protistrany"/>
    <m/>
    <x v="2"/>
    <x v="3"/>
    <x v="19"/>
    <x v="7"/>
    <x v="2"/>
    <s v="Maximální expozice vůči zajištovateli individuální zajištení"/>
    <n v="15000000000"/>
    <n v="0"/>
    <n v="15000000000"/>
    <m/>
  </r>
  <r>
    <m/>
    <m/>
    <m/>
    <x v="2"/>
    <x v="3"/>
    <x v="19"/>
    <x v="7"/>
    <x v="2"/>
    <s v="Maximální expozice vůči zajištovateli obligatórní zajištení"/>
    <n v="103093832"/>
    <n v="0"/>
    <n v="150000000"/>
    <m/>
  </r>
  <r>
    <n v="3"/>
    <s v="Riziko selhání protistrany"/>
    <m/>
    <x v="2"/>
    <x v="3"/>
    <x v="20"/>
    <x v="7"/>
    <x v="2"/>
    <s v="Maximální expozice vůči bance"/>
    <n v="49927561.710000001"/>
    <n v="0"/>
    <n v="70000000"/>
    <m/>
  </r>
  <r>
    <n v="4"/>
    <s v="Riziko selhání protistrany"/>
    <m/>
    <x v="2"/>
    <x v="3"/>
    <x v="21"/>
    <x v="7"/>
    <x v="2"/>
    <s v="Štandardní formula"/>
    <n v="56412294.561991423"/>
    <n v="40000000"/>
    <n v="70000000"/>
    <m/>
  </r>
  <r>
    <n v="1"/>
    <m/>
    <m/>
    <x v="3"/>
    <x v="4"/>
    <x v="22"/>
    <x v="8"/>
    <x v="6"/>
    <s v="Počet incindentů"/>
    <n v="0"/>
    <n v="0"/>
    <n v="3"/>
    <m/>
  </r>
  <r>
    <n v="2"/>
    <m/>
    <m/>
    <x v="3"/>
    <x v="4"/>
    <x v="23"/>
    <x v="9"/>
    <x v="7"/>
    <s v="% identifikovaných podvodů z celku PU"/>
    <n v="6.9375000000000001E-3"/>
    <n v="0.01"/>
    <n v="0.05"/>
    <m/>
  </r>
  <r>
    <n v="3"/>
    <m/>
    <m/>
    <x v="3"/>
    <x v="4"/>
    <x v="24"/>
    <x v="10"/>
    <x v="8"/>
    <s v="Počet incindentů"/>
    <n v="0"/>
    <n v="0"/>
    <n v="0"/>
    <m/>
  </r>
  <r>
    <n v="4"/>
    <m/>
    <m/>
    <x v="3"/>
    <x v="4"/>
    <x v="25"/>
    <x v="8"/>
    <x v="9"/>
    <s v="Počet incindentů"/>
    <n v="0"/>
    <n v="0"/>
    <n v="0"/>
    <m/>
  </r>
  <r>
    <n v="5"/>
    <m/>
    <m/>
    <x v="3"/>
    <x v="4"/>
    <x v="26"/>
    <x v="10"/>
    <x v="9"/>
    <s v="Počet incindentů"/>
    <n v="0"/>
    <n v="0"/>
    <n v="2"/>
    <m/>
  </r>
  <r>
    <m/>
    <m/>
    <m/>
    <x v="4"/>
    <x v="4"/>
    <x v="27"/>
    <x v="11"/>
    <x v="9"/>
    <s v="finanční dopad"/>
    <n v="0"/>
    <n v="0"/>
    <n v="2000"/>
    <m/>
  </r>
  <r>
    <n v="6"/>
    <m/>
    <m/>
    <x v="3"/>
    <x v="4"/>
    <x v="28"/>
    <x v="10"/>
    <x v="9"/>
    <s v="Počet incindentů"/>
    <n v="0"/>
    <n v="0"/>
    <n v="1"/>
    <m/>
  </r>
  <r>
    <m/>
    <m/>
    <m/>
    <x v="4"/>
    <x v="4"/>
    <x v="27"/>
    <x v="11"/>
    <x v="9"/>
    <s v="finanční dopad"/>
    <n v="0"/>
    <n v="0"/>
    <n v="2000"/>
    <m/>
  </r>
  <r>
    <m/>
    <m/>
    <m/>
    <x v="4"/>
    <x v="4"/>
    <x v="27"/>
    <x v="11"/>
    <x v="10"/>
    <s v="dostupnost systémů v dnech"/>
    <s v="180 dni"/>
    <s v="6h"/>
    <n v="2"/>
    <m/>
  </r>
  <r>
    <n v="7"/>
    <m/>
    <m/>
    <x v="5"/>
    <x v="4"/>
    <x v="29"/>
    <x v="12"/>
    <x v="7"/>
    <s v="Počet incindentů"/>
    <n v="0"/>
    <n v="0"/>
    <n v="1"/>
    <m/>
  </r>
  <r>
    <m/>
    <m/>
    <m/>
    <x v="4"/>
    <x v="4"/>
    <x v="27"/>
    <x v="11"/>
    <x v="7"/>
    <s v="finanční dopad"/>
    <n v="0"/>
    <n v="0"/>
    <n v="2000"/>
    <m/>
  </r>
  <r>
    <n v="8"/>
    <m/>
    <m/>
    <x v="5"/>
    <x v="4"/>
    <x v="30"/>
    <x v="12"/>
    <x v="7"/>
    <s v="Počet incindentů"/>
    <n v="0"/>
    <n v="0"/>
    <n v="1"/>
    <m/>
  </r>
  <r>
    <m/>
    <m/>
    <m/>
    <x v="4"/>
    <x v="4"/>
    <x v="27"/>
    <x v="11"/>
    <x v="7"/>
    <s v="finanční dopad"/>
    <n v="0"/>
    <n v="0"/>
    <n v="2000"/>
    <m/>
  </r>
  <r>
    <n v="9"/>
    <m/>
    <m/>
    <x v="5"/>
    <x v="4"/>
    <x v="31"/>
    <x v="12"/>
    <x v="7"/>
    <s v="Počet incindentů"/>
    <n v="0"/>
    <n v="0"/>
    <n v="1"/>
    <m/>
  </r>
  <r>
    <m/>
    <m/>
    <m/>
    <x v="4"/>
    <x v="4"/>
    <x v="27"/>
    <x v="11"/>
    <x v="7"/>
    <s v="finanční dopad"/>
    <n v="0"/>
    <n v="0"/>
    <n v="2000"/>
    <m/>
  </r>
  <r>
    <n v="10"/>
    <m/>
    <m/>
    <x v="5"/>
    <x v="4"/>
    <x v="32"/>
    <x v="13"/>
    <x v="9"/>
    <s v="Počet incindentů"/>
    <n v="0"/>
    <n v="0"/>
    <n v="2"/>
    <m/>
  </r>
  <r>
    <n v="11"/>
    <m/>
    <m/>
    <x v="5"/>
    <x v="4"/>
    <x v="33"/>
    <x v="13"/>
    <x v="9"/>
    <s v="Počet incindentů"/>
    <n v="0"/>
    <n v="0"/>
    <n v="1"/>
    <m/>
  </r>
  <r>
    <n v="12"/>
    <m/>
    <m/>
    <x v="6"/>
    <x v="4"/>
    <x v="34"/>
    <x v="14"/>
    <x v="11"/>
    <s v="Počet incindentů"/>
    <n v="0"/>
    <n v="0"/>
    <n v="0"/>
    <m/>
  </r>
  <r>
    <m/>
    <m/>
    <m/>
    <x v="4"/>
    <x v="4"/>
    <x v="27"/>
    <x v="14"/>
    <x v="11"/>
    <s v="finanční dopad"/>
    <n v="0"/>
    <n v="0"/>
    <n v="100000"/>
    <m/>
  </r>
  <r>
    <n v="13"/>
    <m/>
    <m/>
    <x v="6"/>
    <x v="4"/>
    <x v="35"/>
    <x v="14"/>
    <x v="11"/>
    <s v="Počet incindentů"/>
    <n v="0"/>
    <n v="0"/>
    <n v="0"/>
    <m/>
  </r>
  <r>
    <n v="14"/>
    <m/>
    <m/>
    <x v="6"/>
    <x v="4"/>
    <x v="36"/>
    <x v="14"/>
    <x v="11"/>
    <s v="finanční dopad"/>
    <n v="0"/>
    <n v="0"/>
    <n v="0"/>
    <m/>
  </r>
  <r>
    <n v="15"/>
    <m/>
    <m/>
    <x v="6"/>
    <x v="4"/>
    <x v="37"/>
    <x v="14"/>
    <x v="11"/>
    <s v="finanční dopad"/>
    <n v="0"/>
    <n v="0"/>
    <n v="10000"/>
    <m/>
  </r>
  <r>
    <n v="16"/>
    <m/>
    <m/>
    <x v="6"/>
    <x v="4"/>
    <x v="38"/>
    <x v="14"/>
    <x v="11"/>
    <s v="Míra přijetí pracovných ponúk"/>
    <m/>
    <n v="6"/>
    <n v="10"/>
    <m/>
  </r>
  <r>
    <n v="17"/>
    <m/>
    <m/>
    <x v="6"/>
    <x v="4"/>
    <x v="39"/>
    <x v="14"/>
    <x v="11"/>
    <s v="Qvartálni míra fluktuace"/>
    <n v="0.18"/>
    <n v="0.05"/>
    <n v="0.15"/>
    <m/>
  </r>
  <r>
    <m/>
    <m/>
    <m/>
    <x v="4"/>
    <x v="4"/>
    <x v="27"/>
    <x v="11"/>
    <x v="11"/>
    <s v="Ročný klouzavý průmer fluktuace"/>
    <n v="0.18"/>
    <n v="0.05"/>
    <n v="0.15"/>
    <m/>
  </r>
  <r>
    <n v="23"/>
    <m/>
    <m/>
    <x v="7"/>
    <x v="4"/>
    <x v="40"/>
    <x v="12"/>
    <x v="7"/>
    <s v="finanční dopad"/>
    <n v="0"/>
    <n v="0"/>
    <n v="0"/>
    <m/>
  </r>
  <r>
    <n v="24"/>
    <m/>
    <m/>
    <x v="7"/>
    <x v="4"/>
    <x v="41"/>
    <x v="1"/>
    <x v="1"/>
    <s v="Počet incindentů"/>
    <n v="0"/>
    <n v="0"/>
    <n v="2"/>
    <m/>
  </r>
  <r>
    <m/>
    <m/>
    <m/>
    <x v="4"/>
    <x v="4"/>
    <x v="27"/>
    <x v="11"/>
    <x v="12"/>
    <s v="finanční dopad"/>
    <n v="0"/>
    <m/>
    <n v="50000"/>
    <m/>
  </r>
  <r>
    <n v="25"/>
    <m/>
    <m/>
    <x v="7"/>
    <x v="4"/>
    <x v="42"/>
    <x v="12"/>
    <x v="7"/>
    <s v="počet červených compliance nezhod"/>
    <n v="0"/>
    <n v="0"/>
    <n v="1"/>
    <m/>
  </r>
  <r>
    <m/>
    <m/>
    <m/>
    <x v="4"/>
    <x v="4"/>
    <x v="27"/>
    <x v="11"/>
    <x v="12"/>
    <s v="finanční dopad"/>
    <n v="0"/>
    <n v="0"/>
    <n v="100000"/>
    <m/>
  </r>
  <r>
    <n v="26"/>
    <m/>
    <m/>
    <x v="8"/>
    <x v="4"/>
    <x v="43"/>
    <x v="15"/>
    <x v="9"/>
    <s v="Počet incindentov"/>
    <m/>
    <n v="0"/>
    <n v="1"/>
    <m/>
  </r>
  <r>
    <n v="27"/>
    <m/>
    <m/>
    <x v="9"/>
    <x v="4"/>
    <x v="44"/>
    <x v="16"/>
    <x v="10"/>
    <s v="doba obnovy provozu"/>
    <s v="180 dni"/>
    <s v="6h"/>
    <s v="2dni"/>
    <m/>
  </r>
  <r>
    <m/>
    <m/>
    <m/>
    <x v="4"/>
    <x v="4"/>
    <x v="27"/>
    <x v="11"/>
    <x v="10"/>
    <s v="finanční dopad"/>
    <m/>
    <n v="0"/>
    <n v="5000000"/>
    <m/>
  </r>
  <r>
    <m/>
    <m/>
    <m/>
    <x v="4"/>
    <x v="4"/>
    <x v="45"/>
    <x v="11"/>
    <x v="10"/>
    <s v="počet nedostupných klíčových zaměstnanců"/>
    <n v="0"/>
    <n v="0"/>
    <n v="4"/>
    <m/>
  </r>
  <r>
    <m/>
    <m/>
    <m/>
    <x v="4"/>
    <x v="4"/>
    <x v="27"/>
    <x v="11"/>
    <x v="10"/>
    <s v="počet nedostupných zaměstnanců"/>
    <n v="10"/>
    <n v="0"/>
    <n v="30"/>
    <m/>
  </r>
  <r>
    <m/>
    <m/>
    <m/>
    <x v="4"/>
    <x v="4"/>
    <x v="46"/>
    <x v="11"/>
    <x v="10"/>
    <s v="doba obnovy provozu"/>
    <s v="180 dni"/>
    <s v="6h"/>
    <s v="2dni"/>
    <m/>
  </r>
  <r>
    <m/>
    <m/>
    <m/>
    <x v="4"/>
    <x v="4"/>
    <x v="27"/>
    <x v="11"/>
    <x v="10"/>
    <s v="finanční dopad"/>
    <m/>
    <n v="0"/>
    <n v="5000000"/>
    <m/>
  </r>
  <r>
    <m/>
    <m/>
    <m/>
    <x v="4"/>
    <x v="4"/>
    <x v="47"/>
    <x v="11"/>
    <x v="10"/>
    <s v="doba obnovy provozu"/>
    <s v="180 dni"/>
    <s v="6h"/>
    <s v="2dni"/>
    <m/>
  </r>
  <r>
    <m/>
    <m/>
    <m/>
    <x v="4"/>
    <x v="4"/>
    <x v="27"/>
    <x v="11"/>
    <x v="10"/>
    <s v="finanční dopad"/>
    <m/>
    <n v="0"/>
    <n v="5000000"/>
    <m/>
  </r>
  <r>
    <n v="28"/>
    <m/>
    <m/>
    <x v="10"/>
    <x v="4"/>
    <x v="48"/>
    <x v="11"/>
    <x v="10"/>
    <s v="Počet incindentů"/>
    <n v="0"/>
    <n v="0"/>
    <n v="0"/>
    <m/>
  </r>
  <r>
    <n v="29"/>
    <m/>
    <m/>
    <x v="10"/>
    <x v="4"/>
    <x v="49"/>
    <x v="12"/>
    <x v="13"/>
    <s v="Finanční dopad"/>
    <m/>
    <n v="0"/>
    <n v="50000"/>
    <m/>
  </r>
  <r>
    <n v="30"/>
    <m/>
    <m/>
    <x v="10"/>
    <x v="4"/>
    <x v="50"/>
    <x v="11"/>
    <x v="2"/>
    <s v="Počet incindentů"/>
    <n v="0"/>
    <n v="0"/>
    <n v="2"/>
    <m/>
  </r>
  <r>
    <n v="31"/>
    <m/>
    <m/>
    <x v="10"/>
    <x v="4"/>
    <x v="51"/>
    <x v="12"/>
    <x v="7"/>
    <s v="Finanční dopad"/>
    <m/>
    <n v="0"/>
    <n v="50000"/>
    <m/>
  </r>
  <r>
    <n v="32"/>
    <m/>
    <m/>
    <x v="11"/>
    <x v="4"/>
    <x v="21"/>
    <x v="7"/>
    <x v="2"/>
    <s v="Štandardní formula"/>
    <n v="31345829.681699876"/>
    <n v="25000000"/>
    <n v="4000000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3E7A96-F908-4E3C-AA4B-FE2FEC28587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9" firstHeaderRow="1" firstDataRow="1" firstDataCol="1"/>
  <pivotFields count="13">
    <pivotField showAll="0"/>
    <pivotField showAll="0"/>
    <pivotField showAll="0"/>
    <pivotField showAll="0">
      <items count="13">
        <item x="10"/>
        <item x="3"/>
        <item x="5"/>
        <item x="7"/>
        <item x="6"/>
        <item x="8"/>
        <item x="9"/>
        <item x="2"/>
        <item x="11"/>
        <item x="1"/>
        <item x="0"/>
        <item x="4"/>
        <item t="default"/>
      </items>
    </pivotField>
    <pivotField axis="axisRow" showAll="0">
      <items count="6">
        <item x="0"/>
        <item x="4"/>
        <item x="3"/>
        <item x="2"/>
        <item x="1"/>
        <item t="default"/>
      </items>
    </pivotField>
    <pivotField showAll="0">
      <items count="53">
        <item x="5"/>
        <item x="20"/>
        <item x="16"/>
        <item x="25"/>
        <item x="39"/>
        <item x="14"/>
        <item x="50"/>
        <item x="41"/>
        <item x="49"/>
        <item x="38"/>
        <item x="48"/>
        <item x="51"/>
        <item x="29"/>
        <item x="32"/>
        <item x="15"/>
        <item x="37"/>
        <item x="8"/>
        <item x="30"/>
        <item x="22"/>
        <item x="12"/>
        <item x="33"/>
        <item x="45"/>
        <item x="40"/>
        <item x="44"/>
        <item x="31"/>
        <item x="42"/>
        <item x="7"/>
        <item x="0"/>
        <item x="28"/>
        <item x="18"/>
        <item x="23"/>
        <item x="36"/>
        <item x="34"/>
        <item x="43"/>
        <item x="3"/>
        <item x="10"/>
        <item x="11"/>
        <item x="1"/>
        <item x="9"/>
        <item x="4"/>
        <item x="13"/>
        <item x="2"/>
        <item x="47"/>
        <item x="46"/>
        <item x="21"/>
        <item x="17"/>
        <item x="35"/>
        <item x="6"/>
        <item x="19"/>
        <item x="24"/>
        <item x="26"/>
        <item x="27"/>
        <item t="default"/>
      </items>
    </pivotField>
    <pivotField showAll="0">
      <items count="18">
        <item x="16"/>
        <item x="8"/>
        <item x="15"/>
        <item x="5"/>
        <item x="7"/>
        <item x="4"/>
        <item x="14"/>
        <item x="10"/>
        <item x="13"/>
        <item x="3"/>
        <item x="9"/>
        <item x="0"/>
        <item x="1"/>
        <item x="2"/>
        <item x="6"/>
        <item x="12"/>
        <item x="11"/>
        <item t="default"/>
      </items>
    </pivotField>
    <pivotField showAll="0">
      <items count="15">
        <item x="10"/>
        <item x="8"/>
        <item x="7"/>
        <item x="6"/>
        <item x="11"/>
        <item x="2"/>
        <item x="4"/>
        <item x="0"/>
        <item x="1"/>
        <item x="3"/>
        <item x="5"/>
        <item x="9"/>
        <item x="13"/>
        <item x="12"/>
        <item t="default"/>
      </items>
    </pivotField>
    <pivotField showAll="0"/>
    <pivotField showAll="0"/>
    <pivotField showAll="0"/>
    <pivotField showAll="0"/>
    <pivotField showAll="0"/>
  </pivotFields>
  <rowFields count="1">
    <field x="4"/>
  </rowFields>
  <rowItems count="6">
    <i>
      <x/>
    </i>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7D32EE-8029-4B8B-AB30-4723B2079A11}" name="Table1" displayName="Table1" ref="A1:L16" totalsRowShown="0" headerRowDxfId="137" dataDxfId="136" tableBorderDxfId="135">
  <autoFilter ref="A1:L16" xr:uid="{537D32EE-8029-4B8B-AB30-4723B2079A11}"/>
  <tableColumns count="12">
    <tableColumn id="1" xr3:uid="{15C588C8-3051-4233-807A-E13263EB6182}" name="ID"/>
    <tableColumn id="2" xr3:uid="{D220F8FC-A482-418E-9A61-FB477415FAD9}" name="Hlavní proces"/>
    <tableColumn id="3" xr3:uid="{AED7EF78-8D30-479B-AD51-19CD4A046F2E}" name="Podproces"/>
    <tableColumn id="4" xr3:uid="{5024485E-0954-4302-A62E-C6F4EF49D085}" name="Druh rizika (podle OS 18)"/>
    <tableColumn id="5" xr3:uid="{D87389B9-56E3-4857-8F84-A96C502B6B69}" name="Solvency II risk category"/>
    <tableColumn id="6" xr3:uid="{E634017E-3ECD-4BDE-867A-8A788BBA3266}" name="Klíčová rizika - popis"/>
    <tableColumn id="7" xr3:uid="{405F48A5-ABBA-423B-988B-2D6AE68C4DD2}" name="Vlastník rizka, Odpovedná osoba"/>
    <tableColumn id="8" xr3:uid="{F37A7612-28EF-4516-9DDF-50C948ED2726}" name="Odpovedná osoba provádejíci kontrolu"/>
    <tableColumn id="9" xr3:uid="{8C57C4A8-3E58-499E-8D34-E4708F6C9891}" name="Metrika"/>
    <tableColumn id="10" xr3:uid="{930C0361-5206-4350-A082-FC565A4C163E}" name="Hodnota" dataDxfId="134"/>
    <tableColumn id="11" xr3:uid="{33F149E5-DCC9-4E11-9A22-975CF41AD617}" name="Dolní limit" dataDxfId="133"/>
    <tableColumn id="12" xr3:uid="{16099AF1-EBEB-460A-BDE8-4D18BC66BA10}" name="Horní limit" dataDxfId="132"/>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90C69C-85EF-47ED-8D62-6EE8B3AD1D2C}" name="Table2" displayName="Table2" ref="A1:L9" totalsRowShown="0" headerRowDxfId="131" dataDxfId="130" tableBorderDxfId="129">
  <autoFilter ref="A1:L9" xr:uid="{BC90C69C-85EF-47ED-8D62-6EE8B3AD1D2C}"/>
  <tableColumns count="12">
    <tableColumn id="1" xr3:uid="{63A841EF-F41C-44B5-9D62-226FEB0F945B}" name="ID"/>
    <tableColumn id="2" xr3:uid="{A175A325-536C-4DD6-827B-43568BAD07DF}" name="Hlavní proces"/>
    <tableColumn id="3" xr3:uid="{86E2CB50-1111-4833-A9A2-91D7A176EF90}" name="Podproces"/>
    <tableColumn id="4" xr3:uid="{9F7EA229-16E1-4811-9784-BD4B31052913}" name="Druh rizika (podle OS 18)"/>
    <tableColumn id="5" xr3:uid="{8FC152CF-8AF1-4208-A85E-EED4AB5D48BC}" name="Solvency II risk category"/>
    <tableColumn id="6" xr3:uid="{EF98E882-DD8C-4A1E-B35A-122A7FA6A22D}" name="Klíčová rizika - popis"/>
    <tableColumn id="7" xr3:uid="{BB807865-497E-4AFD-B9F1-01C604E9192D}" name="Vlastník rizka, Odpovedná osoba"/>
    <tableColumn id="8" xr3:uid="{C1DEEEF6-23A3-4E21-82D7-01C371EEE9D8}" name="Odpovedná osoba provádejíci kontrolu"/>
    <tableColumn id="9" xr3:uid="{10D6CD19-0CD8-466A-BE67-DE5B954E7484}" name="Metrika"/>
    <tableColumn id="10" xr3:uid="{D5A81B21-F6D0-4E46-8D8F-A922CFBB8695}" name="Hodnota" dataDxfId="128"/>
    <tableColumn id="11" xr3:uid="{8463C1AA-0EDC-470D-9092-DD211205C9B0}" name="Dolní limit" dataDxfId="127"/>
    <tableColumn id="12" xr3:uid="{B5041248-C93A-47DC-8FAA-E8B7ED1E59DC}" name="Horní limit" dataDxfId="126"/>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D18125E-3B03-4BC7-B6B4-474D244FF6F9}" name="Table3" displayName="Table3" ref="A1:P28" totalsRowShown="0" headerRowDxfId="125" tableBorderDxfId="124">
  <autoFilter ref="A1:P28" xr:uid="{7D18125E-3B03-4BC7-B6B4-474D244FF6F9}"/>
  <tableColumns count="16">
    <tableColumn id="1" xr3:uid="{6F142031-37B1-46F2-8584-58516337454F}" name="ID" dataDxfId="123"/>
    <tableColumn id="2" xr3:uid="{30D64478-C958-4CEA-9EB6-FDF9312629AC}" name="Hlavní proces"/>
    <tableColumn id="3" xr3:uid="{3CC625A4-3135-4B1A-A286-B392801E53F1}" name="Podproces"/>
    <tableColumn id="4" xr3:uid="{74E78A7E-1CEF-4F8F-BF21-908E90FC29C9}" name="Druh rizika (podle OS 18)"/>
    <tableColumn id="5" xr3:uid="{1E5D80A2-EA90-4A7D-84CC-BBE85534AD72}" name="Solvency II risk category"/>
    <tableColumn id="6" xr3:uid="{9FF71D0E-05AC-4545-A169-5CE8EA648D0E}" name="Klíčová rizika - popis"/>
    <tableColumn id="7" xr3:uid="{167B21A9-80CF-4F50-BF59-A84734F48096}" name="Vlastník rizka, Odpovedná osoba"/>
    <tableColumn id="8" xr3:uid="{78D9908E-970A-468C-AE79-26AAD6BC9AA5}" name="Odpovedná osoba provádejíci kontrolu"/>
    <tableColumn id="9" xr3:uid="{7B68981C-BEE0-427B-BF9C-3E008E8DA3F6}" name="Metrika"/>
    <tableColumn id="10" xr3:uid="{DD2593DE-3B52-4934-804A-6CB2A04FAA8A}" name="Hodnota" dataDxfId="122"/>
    <tableColumn id="11" xr3:uid="{58D30565-C6F9-4BAB-BEC0-EAA174A82AEC}" name="Dolní limit" dataDxfId="121"/>
    <tableColumn id="12" xr3:uid="{A4DB1BFE-2B87-4131-A97E-933C117B453F}" name="Horní limit" dataDxfId="120"/>
    <tableColumn id="13" xr3:uid="{87AB57F0-2F1A-45CD-9D82-3FB5585274D2}" name="Periodicita" dataDxfId="119"/>
    <tableColumn id="14" xr3:uid="{FAC6D94E-B1CE-4CA9-88FD-8FDD870B6381}" name="Datum poslední revize" dataDxfId="118"/>
    <tableColumn id="15" xr3:uid="{CE80A1BA-FD15-4717-935E-32A79B179E30}" name="Další revize" dataDxfId="117">
      <calculatedColumnFormula>EDATE(Table3[[#This Row],[Datum poslední revize]],24)</calculatedColumnFormula>
    </tableColumn>
    <tableColumn id="16" xr3:uid="{09899894-66B5-4159-97B3-B4C209C474C5}" name="Column1" dataDxfId="116">
      <calculatedColumnFormula>EDATE(Table3[[#This Row],[Další revize]],12)</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6307E06-B3FF-451D-B81B-22C16CFA2DBA}" name="Table5" displayName="Table5" ref="F1:L7" totalsRowShown="0" headerRowDxfId="115" dataDxfId="114" tableBorderDxfId="113">
  <autoFilter ref="F1:L7" xr:uid="{E6307E06-B3FF-451D-B81B-22C16CFA2DBA}"/>
  <tableColumns count="7">
    <tableColumn id="1" xr3:uid="{B1591F46-2842-4833-83EF-D4E964BE1875}" name="Klíčová rizika - popis"/>
    <tableColumn id="2" xr3:uid="{E246965D-93C8-4FF2-BA79-5EF5FDE88CCE}" name="Vlastník rizka, Odpovedná osoba"/>
    <tableColumn id="3" xr3:uid="{FB2DA9C3-2459-4932-B2E2-7F317D8D4F3F}" name="Odpovedná osoba provádejíci kontrolu"/>
    <tableColumn id="4" xr3:uid="{FC84ECDA-EFDD-44F8-BFEA-D60561E20B1B}" name="Metrika"/>
    <tableColumn id="5" xr3:uid="{21987911-A700-4303-A14F-7D8C618525C6}" name="Hodnota" dataDxfId="112"/>
    <tableColumn id="6" xr3:uid="{8EFC92F5-7FD4-4833-A8B9-87B2ECFA59DE}" name="Dolní limit" dataDxfId="111"/>
    <tableColumn id="7" xr3:uid="{6CA5BDF4-F5D0-4107-8E7E-51F64B0AC250}" name="Horní limit" dataDxfId="110"/>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0C398E8-5BC9-4552-B9F4-480A32773F5B}" name="Table6" displayName="Table6" ref="A1:L45" totalsRowShown="0" headerRowDxfId="109" dataDxfId="108" tableBorderDxfId="107">
  <autoFilter ref="A1:L45" xr:uid="{80C398E8-5BC9-4552-B9F4-480A32773F5B}"/>
  <tableColumns count="12">
    <tableColumn id="1" xr3:uid="{5290C7E4-F1F9-48DF-929A-3D9B9FF15F6C}" name="ID"/>
    <tableColumn id="2" xr3:uid="{FA40739D-2F31-4FE3-96B8-8F0E38B1272D}" name="Hlavní proces"/>
    <tableColumn id="3" xr3:uid="{592CA771-892A-4DB6-A493-321AE07AD20F}" name="Podproces"/>
    <tableColumn id="4" xr3:uid="{39162110-470E-427E-A03F-1B9CEFC9D0C9}" name="Druh rizika (podle OS 18)"/>
    <tableColumn id="5" xr3:uid="{75B7E5B9-DD76-48D3-8B6D-38C847DDA3A3}" name="Solvency II risk category"/>
    <tableColumn id="6" xr3:uid="{F7546B5D-BC17-44ED-AE51-465BC889E6AE}" name="Klíčová rizika - popis"/>
    <tableColumn id="7" xr3:uid="{F0FB297B-4AFB-4612-BB78-436ACAD446F2}" name="Vlastník rizka, Odpovedná osoba"/>
    <tableColumn id="8" xr3:uid="{AE50EC03-11CC-48A1-8BAB-98DFE95D913A}" name="Odpovedná osoba provádejíci kontrolu"/>
    <tableColumn id="9" xr3:uid="{3C9A241F-6828-41D8-9DDF-01DC80375FE2}" name="Metrika"/>
    <tableColumn id="10" xr3:uid="{4123CEB5-5272-410E-A77A-17F1C012D2BA}" name="Hodnota" dataDxfId="106"/>
    <tableColumn id="11" xr3:uid="{5211B807-E640-48BB-BD8E-5A830FC33520}" name="Dolní limit" dataDxfId="105"/>
    <tableColumn id="12" xr3:uid="{87171A53-2D06-474D-873C-9151C9DC7EB7}" name="Horní limit" dataDxfId="104"/>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7E4C2DC-47FD-444C-81A5-3A99508D0A79}" name="Table4" displayName="Table4" ref="A1:M101" totalsRowShown="0" headerRowDxfId="103" dataDxfId="102" tableBorderDxfId="101">
  <autoFilter ref="A1:M101" xr:uid="{77E4C2DC-47FD-444C-81A5-3A99508D0A79}"/>
  <sortState xmlns:xlrd2="http://schemas.microsoft.com/office/spreadsheetml/2017/richdata2" ref="A2:M101">
    <sortCondition ref="G1:G101"/>
  </sortState>
  <tableColumns count="13">
    <tableColumn id="1" xr3:uid="{6E8852F2-94F8-45E2-84AB-E7843BE04088}" name="ID" dataDxfId="100"/>
    <tableColumn id="2" xr3:uid="{FB2259AE-597B-4C46-8A7C-B496C1FCF912}" name="Hlavní proces" dataDxfId="99"/>
    <tableColumn id="3" xr3:uid="{334E1997-40EF-4F56-8BC3-2DA1021BCA85}" name="Podproces" dataDxfId="98"/>
    <tableColumn id="4" xr3:uid="{B68EFB83-B328-46BB-93B9-49766173A2C8}" name="Druh rizika (podle OS 18)" dataDxfId="97"/>
    <tableColumn id="5" xr3:uid="{5AAF6E86-6972-4798-BF5D-972CC37DA6FF}" name="Solvency II risk category" dataDxfId="96"/>
    <tableColumn id="6" xr3:uid="{F0800412-B23F-4472-8D2B-111AD1ABE027}" name="Klíčová rizika - popis" dataDxfId="95"/>
    <tableColumn id="7" xr3:uid="{81218455-7004-44F6-AC81-8FC22381ADC5}" name="Vlastník rizka, Odpovedná osoba" dataDxfId="94"/>
    <tableColumn id="8" xr3:uid="{2E1BA8CE-7FE6-4B55-BAF5-1C3896305756}" name="Odpovedná osoba provádejíci kontrolu" dataDxfId="93"/>
    <tableColumn id="9" xr3:uid="{10D3AB89-1715-4172-9CE9-7BD5AC35BE44}" name="Metrika" dataDxfId="92"/>
    <tableColumn id="10" xr3:uid="{5FBFAA47-26AE-43B9-B212-7113CE1D1B89}" name="Hodnota" dataDxfId="91"/>
    <tableColumn id="11" xr3:uid="{84D8934C-8109-4995-96D3-1AA46F997502}" name="Dolní limit" dataDxfId="90"/>
    <tableColumn id="12" xr3:uid="{5745B09A-FD0D-4FDE-A049-F8C90FEF75B8}" name="Horní limit" dataDxfId="89"/>
    <tableColumn id="13" xr3:uid="{0C7DE3FE-643E-4246-B1CE-18002BAF915F}" name="Column1" dataDxfId="88"/>
  </tableColumns>
  <tableStyleInfo name="TableStyleLight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05B20-F5DA-43F9-8EEE-99A444528CB3}">
  <dimension ref="A1"/>
  <sheetViews>
    <sheetView workbookViewId="0"/>
  </sheetViews>
  <sheetFormatPr defaultRowHeight="12.75"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36428-D174-4D46-8FA3-C2F7B3D082E9}">
  <dimension ref="A1:L16"/>
  <sheetViews>
    <sheetView zoomScale="85" zoomScaleNormal="85" workbookViewId="0">
      <selection activeCell="H20" sqref="H20"/>
    </sheetView>
  </sheetViews>
  <sheetFormatPr defaultRowHeight="12.75" x14ac:dyDescent="0.2"/>
  <cols>
    <col min="2" max="2" width="25" bestFit="1" customWidth="1"/>
    <col min="3" max="3" width="11.42578125" customWidth="1"/>
    <col min="4" max="4" width="22.5703125" customWidth="1"/>
    <col min="5" max="5" width="22" bestFit="1" customWidth="1"/>
    <col min="6" max="6" width="29.28515625" bestFit="1" customWidth="1"/>
    <col min="7" max="7" width="28.42578125" customWidth="1"/>
    <col min="8" max="8" width="33.28515625" customWidth="1"/>
    <col min="9" max="9" width="43.28515625" bestFit="1" customWidth="1"/>
    <col min="10" max="10" width="16.5703125" bestFit="1" customWidth="1"/>
    <col min="11" max="11" width="12.85546875" bestFit="1" customWidth="1"/>
    <col min="12" max="12" width="14" bestFit="1" customWidth="1"/>
  </cols>
  <sheetData>
    <row r="1" spans="1:12" ht="51.75" customHeight="1" x14ac:dyDescent="0.2">
      <c r="A1" s="125" t="s">
        <v>0</v>
      </c>
      <c r="B1" s="126" t="s">
        <v>1</v>
      </c>
      <c r="C1" s="126" t="s">
        <v>2</v>
      </c>
      <c r="D1" s="127" t="s">
        <v>3</v>
      </c>
      <c r="E1" s="128" t="s">
        <v>4</v>
      </c>
      <c r="F1" s="128" t="s">
        <v>5</v>
      </c>
      <c r="G1" s="123" t="s">
        <v>6</v>
      </c>
      <c r="H1" s="123" t="s">
        <v>7</v>
      </c>
      <c r="I1" s="123" t="s">
        <v>8</v>
      </c>
      <c r="J1" s="123" t="s">
        <v>9</v>
      </c>
      <c r="K1" s="123" t="s">
        <v>10</v>
      </c>
      <c r="L1" s="123" t="s">
        <v>11</v>
      </c>
    </row>
    <row r="2" spans="1:12" x14ac:dyDescent="0.2">
      <c r="A2">
        <v>1</v>
      </c>
      <c r="B2" t="s">
        <v>12</v>
      </c>
      <c r="C2" t="s">
        <v>13</v>
      </c>
      <c r="D2" t="s">
        <v>14</v>
      </c>
      <c r="E2" t="s">
        <v>15</v>
      </c>
      <c r="F2" t="s">
        <v>16</v>
      </c>
      <c r="G2" t="s">
        <v>17</v>
      </c>
      <c r="H2" t="s">
        <v>17</v>
      </c>
      <c r="I2" t="s">
        <v>18</v>
      </c>
      <c r="J2" s="115">
        <v>0.67179999999999995</v>
      </c>
      <c r="K2" s="116">
        <v>0.65</v>
      </c>
      <c r="L2" s="116">
        <v>0.75</v>
      </c>
    </row>
    <row r="3" spans="1:12" ht="25.5" x14ac:dyDescent="0.2">
      <c r="A3">
        <v>2</v>
      </c>
      <c r="B3" t="s">
        <v>19</v>
      </c>
      <c r="C3" t="s">
        <v>20</v>
      </c>
      <c r="D3" t="s">
        <v>14</v>
      </c>
      <c r="E3" t="s">
        <v>15</v>
      </c>
      <c r="F3" t="s">
        <v>21</v>
      </c>
      <c r="G3" s="120" t="s">
        <v>22</v>
      </c>
      <c r="H3" s="120" t="s">
        <v>22</v>
      </c>
      <c r="I3" t="s">
        <v>23</v>
      </c>
      <c r="J3" s="115">
        <v>0.28100000000000003</v>
      </c>
      <c r="K3" s="116">
        <v>0.25</v>
      </c>
      <c r="L3" s="116">
        <v>0.33</v>
      </c>
    </row>
    <row r="4" spans="1:12" x14ac:dyDescent="0.2">
      <c r="A4">
        <v>3</v>
      </c>
      <c r="B4" t="s">
        <v>24</v>
      </c>
      <c r="C4" t="s">
        <v>13</v>
      </c>
      <c r="D4" t="s">
        <v>14</v>
      </c>
      <c r="E4" t="s">
        <v>15</v>
      </c>
      <c r="F4" t="s">
        <v>25</v>
      </c>
      <c r="G4" t="s">
        <v>17</v>
      </c>
      <c r="H4" t="s">
        <v>17</v>
      </c>
      <c r="I4" t="s">
        <v>26</v>
      </c>
      <c r="J4" s="116">
        <v>0.13</v>
      </c>
      <c r="K4" s="116">
        <v>0.05</v>
      </c>
      <c r="L4" s="116">
        <v>0.2</v>
      </c>
    </row>
    <row r="5" spans="1:12" x14ac:dyDescent="0.2">
      <c r="A5">
        <v>4</v>
      </c>
      <c r="B5" t="s">
        <v>27</v>
      </c>
      <c r="D5" t="s">
        <v>14</v>
      </c>
      <c r="E5" t="s">
        <v>15</v>
      </c>
      <c r="F5" t="s">
        <v>28</v>
      </c>
      <c r="G5" t="s">
        <v>29</v>
      </c>
      <c r="H5" t="s">
        <v>30</v>
      </c>
      <c r="I5" t="s">
        <v>31</v>
      </c>
      <c r="J5" s="117">
        <v>55866287.844539039</v>
      </c>
      <c r="K5" s="117">
        <v>0</v>
      </c>
      <c r="L5" s="117">
        <v>80000000</v>
      </c>
    </row>
    <row r="6" spans="1:12" x14ac:dyDescent="0.2">
      <c r="B6" t="s">
        <v>27</v>
      </c>
      <c r="D6" t="s">
        <v>14</v>
      </c>
      <c r="E6" t="s">
        <v>15</v>
      </c>
      <c r="F6" t="s">
        <v>28</v>
      </c>
      <c r="G6" t="s">
        <v>29</v>
      </c>
      <c r="H6" t="s">
        <v>30</v>
      </c>
      <c r="I6" t="s">
        <v>32</v>
      </c>
      <c r="J6" s="117">
        <v>316915550.59491694</v>
      </c>
      <c r="K6" s="117">
        <v>0</v>
      </c>
      <c r="L6" s="117">
        <v>400000000</v>
      </c>
    </row>
    <row r="7" spans="1:12" x14ac:dyDescent="0.2">
      <c r="B7" t="s">
        <v>27</v>
      </c>
      <c r="D7" t="s">
        <v>14</v>
      </c>
      <c r="E7" t="s">
        <v>15</v>
      </c>
      <c r="F7" t="s">
        <v>28</v>
      </c>
      <c r="G7" t="s">
        <v>29</v>
      </c>
      <c r="H7" t="s">
        <v>30</v>
      </c>
      <c r="I7" t="s">
        <v>33</v>
      </c>
      <c r="J7" s="117">
        <v>26629678.726202164</v>
      </c>
      <c r="K7" s="117">
        <v>0</v>
      </c>
      <c r="L7" s="117">
        <v>30000000</v>
      </c>
    </row>
    <row r="8" spans="1:12" x14ac:dyDescent="0.2">
      <c r="B8" t="s">
        <v>27</v>
      </c>
      <c r="D8" t="s">
        <v>14</v>
      </c>
      <c r="E8" t="s">
        <v>15</v>
      </c>
      <c r="F8" t="s">
        <v>28</v>
      </c>
      <c r="G8" t="s">
        <v>29</v>
      </c>
      <c r="H8" t="s">
        <v>30</v>
      </c>
      <c r="I8" t="s">
        <v>34</v>
      </c>
      <c r="J8" s="117">
        <v>40671369.729793914</v>
      </c>
      <c r="K8" s="117">
        <v>0</v>
      </c>
      <c r="L8" s="117">
        <v>50000000</v>
      </c>
    </row>
    <row r="9" spans="1:12" x14ac:dyDescent="0.2">
      <c r="B9" t="s">
        <v>27</v>
      </c>
      <c r="D9" t="s">
        <v>14</v>
      </c>
      <c r="E9" t="s">
        <v>15</v>
      </c>
      <c r="F9" t="s">
        <v>28</v>
      </c>
      <c r="G9" t="s">
        <v>29</v>
      </c>
      <c r="H9" t="s">
        <v>30</v>
      </c>
      <c r="I9" t="s">
        <v>35</v>
      </c>
      <c r="J9" s="117">
        <v>85083667</v>
      </c>
      <c r="K9" s="117">
        <v>0</v>
      </c>
      <c r="L9" s="117">
        <v>110000000</v>
      </c>
    </row>
    <row r="10" spans="1:12" x14ac:dyDescent="0.2">
      <c r="A10">
        <v>5</v>
      </c>
      <c r="B10" t="s">
        <v>27</v>
      </c>
      <c r="C10" t="s">
        <v>36</v>
      </c>
      <c r="D10" t="s">
        <v>14</v>
      </c>
      <c r="E10" t="s">
        <v>15</v>
      </c>
      <c r="F10" t="s">
        <v>37</v>
      </c>
      <c r="G10" t="s">
        <v>29</v>
      </c>
      <c r="H10" t="s">
        <v>29</v>
      </c>
      <c r="I10" t="s">
        <v>38</v>
      </c>
      <c r="J10" s="117">
        <v>2414273438</v>
      </c>
      <c r="K10" s="117">
        <v>0</v>
      </c>
      <c r="L10" s="117">
        <v>2500000000</v>
      </c>
    </row>
    <row r="11" spans="1:12" ht="25.5" x14ac:dyDescent="0.2">
      <c r="A11">
        <v>6</v>
      </c>
      <c r="B11" t="s">
        <v>27</v>
      </c>
      <c r="C11" t="s">
        <v>36</v>
      </c>
      <c r="D11" t="s">
        <v>14</v>
      </c>
      <c r="E11" t="s">
        <v>15</v>
      </c>
      <c r="F11" t="s">
        <v>39</v>
      </c>
      <c r="G11" s="120" t="s">
        <v>22</v>
      </c>
      <c r="H11" t="s">
        <v>30</v>
      </c>
      <c r="I11" t="s">
        <v>40</v>
      </c>
      <c r="J11" s="117">
        <v>100775.35373800551</v>
      </c>
      <c r="K11" s="117">
        <v>0</v>
      </c>
      <c r="L11" s="117">
        <v>150000000</v>
      </c>
    </row>
    <row r="12" spans="1:12" ht="25.5" x14ac:dyDescent="0.2">
      <c r="B12" t="s">
        <v>27</v>
      </c>
      <c r="C12" t="s">
        <v>36</v>
      </c>
      <c r="D12" t="s">
        <v>14</v>
      </c>
      <c r="E12" t="s">
        <v>15</v>
      </c>
      <c r="F12" t="s">
        <v>39</v>
      </c>
      <c r="G12" s="120" t="s">
        <v>22</v>
      </c>
      <c r="H12" t="s">
        <v>30</v>
      </c>
      <c r="I12" t="s">
        <v>41</v>
      </c>
      <c r="J12" s="117">
        <v>76903.646261994509</v>
      </c>
      <c r="K12" s="117">
        <v>0</v>
      </c>
      <c r="L12" s="117">
        <v>100000000</v>
      </c>
    </row>
    <row r="13" spans="1:12" x14ac:dyDescent="0.2">
      <c r="A13">
        <v>7</v>
      </c>
      <c r="B13" t="s">
        <v>27</v>
      </c>
      <c r="C13" t="s">
        <v>36</v>
      </c>
      <c r="D13" t="s">
        <v>14</v>
      </c>
      <c r="E13" t="s">
        <v>15</v>
      </c>
      <c r="F13" t="s">
        <v>42</v>
      </c>
      <c r="G13" t="s">
        <v>29</v>
      </c>
      <c r="H13" t="s">
        <v>29</v>
      </c>
      <c r="I13" t="s">
        <v>43</v>
      </c>
      <c r="J13" s="117">
        <v>680000000</v>
      </c>
      <c r="K13" s="117">
        <v>0</v>
      </c>
      <c r="L13" s="117">
        <v>700000000</v>
      </c>
    </row>
    <row r="14" spans="1:12" x14ac:dyDescent="0.2">
      <c r="A14">
        <v>8</v>
      </c>
      <c r="B14" t="s">
        <v>27</v>
      </c>
      <c r="C14" t="s">
        <v>36</v>
      </c>
      <c r="D14" t="s">
        <v>14</v>
      </c>
      <c r="E14" t="s">
        <v>15</v>
      </c>
      <c r="F14" t="s">
        <v>44</v>
      </c>
      <c r="G14" t="s">
        <v>29</v>
      </c>
      <c r="H14" t="s">
        <v>30</v>
      </c>
      <c r="I14" t="s">
        <v>45</v>
      </c>
      <c r="J14" s="117">
        <v>58000000</v>
      </c>
      <c r="K14" s="117">
        <v>0</v>
      </c>
      <c r="L14" s="117">
        <v>70000000</v>
      </c>
    </row>
    <row r="15" spans="1:12" x14ac:dyDescent="0.2">
      <c r="A15">
        <v>9</v>
      </c>
      <c r="B15" t="s">
        <v>27</v>
      </c>
      <c r="C15" t="s">
        <v>36</v>
      </c>
      <c r="D15" t="s">
        <v>14</v>
      </c>
      <c r="E15" t="s">
        <v>15</v>
      </c>
      <c r="F15" t="s">
        <v>46</v>
      </c>
      <c r="G15" t="s">
        <v>47</v>
      </c>
      <c r="H15" t="s">
        <v>47</v>
      </c>
      <c r="I15" t="s">
        <v>48</v>
      </c>
      <c r="J15" s="116">
        <v>0.54</v>
      </c>
      <c r="K15" s="116">
        <v>0.3</v>
      </c>
      <c r="L15" s="116">
        <v>0.6</v>
      </c>
    </row>
    <row r="16" spans="1:12" x14ac:dyDescent="0.2">
      <c r="A16">
        <v>10</v>
      </c>
      <c r="B16" t="s">
        <v>24</v>
      </c>
      <c r="C16" t="s">
        <v>13</v>
      </c>
      <c r="D16" t="s">
        <v>14</v>
      </c>
      <c r="E16" t="s">
        <v>15</v>
      </c>
      <c r="F16" t="s">
        <v>49</v>
      </c>
      <c r="G16" t="s">
        <v>50</v>
      </c>
      <c r="H16" t="s">
        <v>30</v>
      </c>
      <c r="I16" t="s">
        <v>51</v>
      </c>
      <c r="J16" s="117">
        <v>158228330.23981619</v>
      </c>
      <c r="K16" s="117">
        <v>140000000</v>
      </c>
      <c r="L16" s="117">
        <v>180000000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B5257-B5DA-4D47-B1AE-ED2B1FEAA216}">
  <dimension ref="A1:L9"/>
  <sheetViews>
    <sheetView workbookViewId="0">
      <selection activeCell="A2" sqref="A2"/>
    </sheetView>
  </sheetViews>
  <sheetFormatPr defaultRowHeight="12.75" x14ac:dyDescent="0.2"/>
  <cols>
    <col min="1" max="1" width="4.85546875" customWidth="1"/>
    <col min="2" max="2" width="25" bestFit="1" customWidth="1"/>
    <col min="3" max="3" width="11.28515625" customWidth="1"/>
    <col min="4" max="4" width="21.85546875" customWidth="1"/>
    <col min="5" max="5" width="22" bestFit="1" customWidth="1"/>
    <col min="6" max="6" width="29.28515625" bestFit="1" customWidth="1"/>
    <col min="7" max="7" width="27.7109375" customWidth="1"/>
    <col min="8" max="8" width="32.5703125" customWidth="1"/>
    <col min="9" max="9" width="43.28515625" bestFit="1" customWidth="1"/>
    <col min="10" max="12" width="11.7109375" bestFit="1" customWidth="1"/>
  </cols>
  <sheetData>
    <row r="1" spans="1:12" x14ac:dyDescent="0.2">
      <c r="A1" s="125" t="s">
        <v>0</v>
      </c>
      <c r="B1" s="126" t="s">
        <v>1</v>
      </c>
      <c r="C1" s="126" t="s">
        <v>2</v>
      </c>
      <c r="D1" s="127" t="s">
        <v>3</v>
      </c>
      <c r="E1" s="128" t="s">
        <v>4</v>
      </c>
      <c r="F1" s="128" t="s">
        <v>5</v>
      </c>
      <c r="G1" s="123" t="s">
        <v>6</v>
      </c>
      <c r="H1" s="123" t="s">
        <v>7</v>
      </c>
      <c r="I1" s="123" t="s">
        <v>8</v>
      </c>
      <c r="J1" s="123" t="s">
        <v>9</v>
      </c>
      <c r="K1" s="123" t="s">
        <v>10</v>
      </c>
      <c r="L1" s="123" t="s">
        <v>11</v>
      </c>
    </row>
    <row r="2" spans="1:12" x14ac:dyDescent="0.2">
      <c r="A2">
        <v>1</v>
      </c>
      <c r="B2" t="s">
        <v>12</v>
      </c>
      <c r="C2" t="s">
        <v>13</v>
      </c>
      <c r="D2" t="s">
        <v>14</v>
      </c>
      <c r="E2" t="s">
        <v>52</v>
      </c>
      <c r="F2" t="s">
        <v>16</v>
      </c>
      <c r="G2" t="s">
        <v>17</v>
      </c>
      <c r="H2" t="s">
        <v>17</v>
      </c>
      <c r="I2" t="s">
        <v>18</v>
      </c>
      <c r="J2" s="115">
        <v>0.67179999999999995</v>
      </c>
      <c r="K2" s="116">
        <v>0.65</v>
      </c>
      <c r="L2" s="116">
        <v>0.75</v>
      </c>
    </row>
    <row r="3" spans="1:12" ht="25.5" x14ac:dyDescent="0.2">
      <c r="A3">
        <v>2</v>
      </c>
      <c r="B3" t="s">
        <v>19</v>
      </c>
      <c r="C3" t="s">
        <v>20</v>
      </c>
      <c r="D3" t="s">
        <v>14</v>
      </c>
      <c r="E3" t="s">
        <v>52</v>
      </c>
      <c r="F3" t="s">
        <v>21</v>
      </c>
      <c r="G3" s="120" t="s">
        <v>22</v>
      </c>
      <c r="H3" s="120" t="s">
        <v>22</v>
      </c>
      <c r="I3" t="s">
        <v>23</v>
      </c>
      <c r="J3" s="115">
        <v>0.26200000000000001</v>
      </c>
      <c r="K3" s="116">
        <v>0.25</v>
      </c>
      <c r="L3" s="116">
        <v>0.33</v>
      </c>
    </row>
    <row r="4" spans="1:12" x14ac:dyDescent="0.2">
      <c r="A4">
        <v>3</v>
      </c>
      <c r="B4" t="s">
        <v>24</v>
      </c>
      <c r="C4" t="s">
        <v>13</v>
      </c>
      <c r="D4" t="s">
        <v>14</v>
      </c>
      <c r="E4" t="s">
        <v>52</v>
      </c>
      <c r="F4" t="s">
        <v>25</v>
      </c>
      <c r="G4" t="s">
        <v>17</v>
      </c>
      <c r="H4" t="s">
        <v>17</v>
      </c>
      <c r="I4" t="s">
        <v>26</v>
      </c>
      <c r="J4" s="116">
        <v>0.1</v>
      </c>
      <c r="K4" s="116">
        <v>0</v>
      </c>
      <c r="L4" s="116">
        <v>0.2</v>
      </c>
    </row>
    <row r="5" spans="1:12" ht="25.5" x14ac:dyDescent="0.2">
      <c r="A5">
        <v>4</v>
      </c>
      <c r="B5" t="s">
        <v>27</v>
      </c>
      <c r="C5" t="s">
        <v>53</v>
      </c>
      <c r="D5" t="s">
        <v>14</v>
      </c>
      <c r="E5" t="s">
        <v>52</v>
      </c>
      <c r="F5" t="s">
        <v>54</v>
      </c>
      <c r="G5" s="120" t="s">
        <v>22</v>
      </c>
      <c r="H5" t="s">
        <v>30</v>
      </c>
      <c r="I5" t="s">
        <v>55</v>
      </c>
      <c r="J5" s="117">
        <v>1562105.7460715328</v>
      </c>
      <c r="K5" s="117">
        <v>0</v>
      </c>
      <c r="L5" s="117">
        <v>2000000</v>
      </c>
    </row>
    <row r="6" spans="1:12" ht="25.5" x14ac:dyDescent="0.2">
      <c r="B6" t="s">
        <v>27</v>
      </c>
      <c r="C6" t="s">
        <v>53</v>
      </c>
      <c r="D6" t="s">
        <v>14</v>
      </c>
      <c r="E6" t="s">
        <v>52</v>
      </c>
      <c r="F6" t="s">
        <v>54</v>
      </c>
      <c r="G6" s="120" t="s">
        <v>22</v>
      </c>
      <c r="H6" t="s">
        <v>30</v>
      </c>
      <c r="I6" t="s">
        <v>56</v>
      </c>
      <c r="J6" s="117">
        <v>19513.48971359419</v>
      </c>
      <c r="K6" s="117">
        <v>15000</v>
      </c>
      <c r="L6" s="117">
        <v>25000</v>
      </c>
    </row>
    <row r="7" spans="1:12" ht="25.5" x14ac:dyDescent="0.2">
      <c r="A7">
        <v>5</v>
      </c>
      <c r="B7" t="s">
        <v>27</v>
      </c>
      <c r="C7" t="s">
        <v>53</v>
      </c>
      <c r="D7" t="s">
        <v>14</v>
      </c>
      <c r="E7" t="s">
        <v>52</v>
      </c>
      <c r="F7" t="s">
        <v>57</v>
      </c>
      <c r="G7" s="120" t="s">
        <v>22</v>
      </c>
      <c r="H7" t="s">
        <v>30</v>
      </c>
      <c r="I7" t="s">
        <v>58</v>
      </c>
      <c r="J7" s="117">
        <v>37500</v>
      </c>
      <c r="K7" s="117">
        <v>30000</v>
      </c>
      <c r="L7" s="117">
        <v>50000</v>
      </c>
    </row>
    <row r="8" spans="1:12" ht="25.5" x14ac:dyDescent="0.2">
      <c r="B8" t="s">
        <v>27</v>
      </c>
      <c r="C8" t="s">
        <v>53</v>
      </c>
      <c r="D8" t="s">
        <v>14</v>
      </c>
      <c r="E8" t="s">
        <v>52</v>
      </c>
      <c r="F8" t="s">
        <v>57</v>
      </c>
      <c r="G8" s="120" t="s">
        <v>22</v>
      </c>
      <c r="H8" t="s">
        <v>30</v>
      </c>
      <c r="I8" t="s">
        <v>59</v>
      </c>
      <c r="J8" s="117">
        <v>17121</v>
      </c>
      <c r="K8" s="117">
        <v>10000</v>
      </c>
      <c r="L8" s="117">
        <v>30000</v>
      </c>
    </row>
    <row r="9" spans="1:12" x14ac:dyDescent="0.2">
      <c r="A9">
        <v>6</v>
      </c>
      <c r="B9" t="s">
        <v>24</v>
      </c>
      <c r="C9" t="s">
        <v>13</v>
      </c>
      <c r="D9" t="s">
        <v>14</v>
      </c>
      <c r="E9" t="s">
        <v>52</v>
      </c>
      <c r="F9" t="s">
        <v>49</v>
      </c>
      <c r="G9" t="s">
        <v>50</v>
      </c>
      <c r="H9" t="s">
        <v>30</v>
      </c>
      <c r="I9" t="s">
        <v>51</v>
      </c>
      <c r="J9" s="117">
        <v>38000000</v>
      </c>
      <c r="K9" s="117">
        <v>30000000</v>
      </c>
      <c r="L9" s="117">
        <v>50000000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7871C-DC49-4184-B67F-909E0855DBFC}">
  <dimension ref="A1:P28"/>
  <sheetViews>
    <sheetView workbookViewId="0">
      <selection activeCell="D14" sqref="D14"/>
    </sheetView>
  </sheetViews>
  <sheetFormatPr defaultRowHeight="12.75" x14ac:dyDescent="0.2"/>
  <cols>
    <col min="1" max="1" width="9.140625" style="143"/>
    <col min="2" max="2" width="13.42578125" customWidth="1"/>
    <col min="3" max="3" width="11.28515625" customWidth="1"/>
    <col min="4" max="5" width="21.85546875" customWidth="1"/>
    <col min="6" max="6" width="18.7109375" customWidth="1"/>
    <col min="7" max="7" width="27.7109375" customWidth="1"/>
    <col min="8" max="8" width="32.5703125" customWidth="1"/>
    <col min="9" max="9" width="47.28515625" bestFit="1" customWidth="1"/>
    <col min="10" max="10" width="12.85546875" bestFit="1" customWidth="1"/>
    <col min="11" max="11" width="15" bestFit="1" customWidth="1"/>
    <col min="12" max="12" width="14.5703125" bestFit="1" customWidth="1"/>
    <col min="13" max="13" width="13.5703125" hidden="1" customWidth="1"/>
    <col min="14" max="14" width="13.28515625" style="146" hidden="1" customWidth="1"/>
    <col min="15" max="16" width="10.140625" hidden="1" customWidth="1"/>
  </cols>
  <sheetData>
    <row r="1" spans="1:16" ht="25.5" x14ac:dyDescent="0.2">
      <c r="A1" s="142" t="s">
        <v>0</v>
      </c>
      <c r="B1" s="126" t="s">
        <v>1</v>
      </c>
      <c r="C1" s="126" t="s">
        <v>2</v>
      </c>
      <c r="D1" s="127" t="s">
        <v>3</v>
      </c>
      <c r="E1" s="128" t="s">
        <v>4</v>
      </c>
      <c r="F1" s="128" t="s">
        <v>5</v>
      </c>
      <c r="G1" s="123" t="s">
        <v>6</v>
      </c>
      <c r="H1" s="123" t="s">
        <v>7</v>
      </c>
      <c r="I1" s="123" t="s">
        <v>8</v>
      </c>
      <c r="J1" s="123" t="s">
        <v>9</v>
      </c>
      <c r="K1" s="123" t="s">
        <v>10</v>
      </c>
      <c r="L1" s="123" t="s">
        <v>11</v>
      </c>
      <c r="M1" s="123" t="s">
        <v>60</v>
      </c>
      <c r="N1" s="145" t="s">
        <v>61</v>
      </c>
      <c r="O1" s="123" t="s">
        <v>62</v>
      </c>
      <c r="P1" s="123" t="s">
        <v>63</v>
      </c>
    </row>
    <row r="2" spans="1:16" x14ac:dyDescent="0.2">
      <c r="A2" s="143">
        <v>1</v>
      </c>
      <c r="B2" t="s">
        <v>64</v>
      </c>
      <c r="D2" t="s">
        <v>64</v>
      </c>
      <c r="E2" t="s">
        <v>64</v>
      </c>
      <c r="F2" t="s">
        <v>65</v>
      </c>
      <c r="G2" t="s">
        <v>66</v>
      </c>
      <c r="H2" t="s">
        <v>30</v>
      </c>
      <c r="I2" t="s">
        <v>67</v>
      </c>
      <c r="J2">
        <v>8</v>
      </c>
      <c r="K2">
        <v>3</v>
      </c>
      <c r="L2">
        <v>10</v>
      </c>
      <c r="M2" s="122" t="s">
        <v>68</v>
      </c>
      <c r="N2" s="146">
        <v>45199</v>
      </c>
      <c r="O2" s="146">
        <f>EDATE(Table3[[#This Row],[Datum poslední revize]],24)</f>
        <v>45930</v>
      </c>
      <c r="P2" s="146">
        <f>EDATE(Table3[[#This Row],[Další revize]],12)</f>
        <v>46295</v>
      </c>
    </row>
    <row r="3" spans="1:16" x14ac:dyDescent="0.2">
      <c r="A3" s="144">
        <v>11</v>
      </c>
      <c r="B3" t="s">
        <v>64</v>
      </c>
      <c r="D3" t="s">
        <v>64</v>
      </c>
      <c r="E3" t="s">
        <v>64</v>
      </c>
      <c r="F3" t="s">
        <v>65</v>
      </c>
      <c r="G3" t="s">
        <v>66</v>
      </c>
      <c r="H3" t="s">
        <v>30</v>
      </c>
      <c r="I3" t="s">
        <v>69</v>
      </c>
      <c r="J3" s="117">
        <v>156000000</v>
      </c>
      <c r="K3" s="117">
        <v>80000000</v>
      </c>
      <c r="L3" s="117">
        <v>200000000</v>
      </c>
      <c r="M3" s="122" t="s">
        <v>68</v>
      </c>
      <c r="N3" s="146">
        <v>45199</v>
      </c>
      <c r="O3" s="146">
        <f>EDATE(Table3[[#This Row],[Datum poslední revize]],24)</f>
        <v>45930</v>
      </c>
      <c r="P3" s="146">
        <f>EDATE(Table3[[#This Row],[Další revize]],12)</f>
        <v>46295</v>
      </c>
    </row>
    <row r="4" spans="1:16" x14ac:dyDescent="0.2">
      <c r="A4" s="143">
        <v>2</v>
      </c>
      <c r="B4" t="s">
        <v>64</v>
      </c>
      <c r="D4" t="s">
        <v>64</v>
      </c>
      <c r="E4" t="s">
        <v>64</v>
      </c>
      <c r="F4" t="s">
        <v>70</v>
      </c>
      <c r="G4" t="s">
        <v>66</v>
      </c>
      <c r="H4" t="s">
        <v>30</v>
      </c>
      <c r="I4" t="s">
        <v>71</v>
      </c>
      <c r="J4" s="117">
        <v>134816247</v>
      </c>
      <c r="K4" s="117">
        <v>100000000</v>
      </c>
      <c r="L4" s="117">
        <v>9000000000</v>
      </c>
      <c r="M4" s="122" t="s">
        <v>68</v>
      </c>
      <c r="N4" s="146">
        <v>45199</v>
      </c>
      <c r="O4" s="146">
        <f>EDATE(Table3[[#This Row],[Datum poslední revize]],24)</f>
        <v>45930</v>
      </c>
      <c r="P4" s="146">
        <f>EDATE(Table3[[#This Row],[Další revize]],12)</f>
        <v>46295</v>
      </c>
    </row>
    <row r="5" spans="1:16" x14ac:dyDescent="0.2">
      <c r="A5" s="144">
        <v>21</v>
      </c>
      <c r="B5" t="s">
        <v>64</v>
      </c>
      <c r="D5" t="s">
        <v>64</v>
      </c>
      <c r="E5" t="s">
        <v>64</v>
      </c>
      <c r="F5" t="s">
        <v>70</v>
      </c>
      <c r="G5" t="s">
        <v>66</v>
      </c>
      <c r="H5" t="s">
        <v>30</v>
      </c>
      <c r="I5" t="s">
        <v>72</v>
      </c>
      <c r="J5" s="117">
        <v>0</v>
      </c>
      <c r="K5" s="117">
        <v>0</v>
      </c>
      <c r="L5" s="117">
        <v>9000000000</v>
      </c>
      <c r="M5" s="122" t="s">
        <v>68</v>
      </c>
      <c r="N5" s="146">
        <v>45199</v>
      </c>
      <c r="O5" s="146">
        <f>EDATE(Table3[[#This Row],[Datum poslední revize]],24)</f>
        <v>45930</v>
      </c>
      <c r="P5" s="146">
        <f>EDATE(Table3[[#This Row],[Další revize]],12)</f>
        <v>46295</v>
      </c>
    </row>
    <row r="6" spans="1:16" x14ac:dyDescent="0.2">
      <c r="A6" s="144">
        <v>22</v>
      </c>
      <c r="B6" t="s">
        <v>64</v>
      </c>
      <c r="D6" t="s">
        <v>64</v>
      </c>
      <c r="E6" t="s">
        <v>64</v>
      </c>
      <c r="F6" t="s">
        <v>70</v>
      </c>
      <c r="G6" t="s">
        <v>66</v>
      </c>
      <c r="H6" t="s">
        <v>30</v>
      </c>
      <c r="I6" t="s">
        <v>73</v>
      </c>
      <c r="J6" s="117">
        <v>563966135</v>
      </c>
      <c r="K6" s="117">
        <v>400000000</v>
      </c>
      <c r="L6" s="117">
        <v>700000000</v>
      </c>
      <c r="M6" s="122" t="s">
        <v>68</v>
      </c>
      <c r="N6" s="146">
        <v>45199</v>
      </c>
      <c r="O6" s="146">
        <f>EDATE(Table3[[#This Row],[Datum poslední revize]],24)</f>
        <v>45930</v>
      </c>
      <c r="P6" s="146">
        <f>EDATE(Table3[[#This Row],[Další revize]],12)</f>
        <v>46295</v>
      </c>
    </row>
    <row r="7" spans="1:16" x14ac:dyDescent="0.2">
      <c r="A7" s="144">
        <v>23</v>
      </c>
      <c r="B7" t="s">
        <v>64</v>
      </c>
      <c r="D7" t="s">
        <v>64</v>
      </c>
      <c r="E7" t="s">
        <v>64</v>
      </c>
      <c r="F7" t="s">
        <v>70</v>
      </c>
      <c r="G7" t="s">
        <v>66</v>
      </c>
      <c r="H7" t="s">
        <v>30</v>
      </c>
      <c r="I7" t="s">
        <v>74</v>
      </c>
      <c r="J7" s="117">
        <v>3605</v>
      </c>
      <c r="K7" s="117">
        <v>0</v>
      </c>
      <c r="L7" s="117">
        <v>300000000</v>
      </c>
      <c r="M7" s="122" t="s">
        <v>68</v>
      </c>
      <c r="N7" s="146">
        <v>45199</v>
      </c>
      <c r="O7" s="146">
        <f>EDATE(Table3[[#This Row],[Datum poslední revize]],24)</f>
        <v>45930</v>
      </c>
      <c r="P7" s="146">
        <f>EDATE(Table3[[#This Row],[Další revize]],12)</f>
        <v>46295</v>
      </c>
    </row>
    <row r="8" spans="1:16" x14ac:dyDescent="0.2">
      <c r="A8" s="144">
        <v>24</v>
      </c>
      <c r="B8" t="s">
        <v>64</v>
      </c>
      <c r="D8" t="s">
        <v>64</v>
      </c>
      <c r="E8" t="s">
        <v>64</v>
      </c>
      <c r="F8" t="s">
        <v>70</v>
      </c>
      <c r="G8" t="s">
        <v>66</v>
      </c>
      <c r="H8" t="s">
        <v>30</v>
      </c>
      <c r="I8" t="s">
        <v>75</v>
      </c>
      <c r="J8" s="117"/>
      <c r="K8" s="117">
        <v>0</v>
      </c>
      <c r="L8" s="117">
        <v>0</v>
      </c>
      <c r="M8" s="122" t="s">
        <v>68</v>
      </c>
      <c r="N8" s="146">
        <v>45199</v>
      </c>
      <c r="O8" s="146">
        <f>EDATE(Table3[[#This Row],[Datum poslední revize]],24)</f>
        <v>45930</v>
      </c>
      <c r="P8" s="146">
        <f>EDATE(Table3[[#This Row],[Další revize]],12)</f>
        <v>46295</v>
      </c>
    </row>
    <row r="9" spans="1:16" x14ac:dyDescent="0.2">
      <c r="A9" s="144">
        <v>25</v>
      </c>
      <c r="B9" t="s">
        <v>64</v>
      </c>
      <c r="D9" t="s">
        <v>64</v>
      </c>
      <c r="E9" t="s">
        <v>64</v>
      </c>
      <c r="F9" t="s">
        <v>70</v>
      </c>
      <c r="G9" t="s">
        <v>66</v>
      </c>
      <c r="H9" t="s">
        <v>30</v>
      </c>
      <c r="I9" t="s">
        <v>76</v>
      </c>
      <c r="J9" s="117"/>
      <c r="K9" s="117">
        <v>0</v>
      </c>
      <c r="L9" s="117">
        <v>0</v>
      </c>
      <c r="M9" s="122" t="s">
        <v>68</v>
      </c>
      <c r="N9" s="146">
        <v>45199</v>
      </c>
      <c r="O9" s="146">
        <f>EDATE(Table3[[#This Row],[Datum poslední revize]],24)</f>
        <v>45930</v>
      </c>
      <c r="P9" s="146">
        <f>EDATE(Table3[[#This Row],[Další revize]],12)</f>
        <v>46295</v>
      </c>
    </row>
    <row r="10" spans="1:16" x14ac:dyDescent="0.2">
      <c r="A10" s="144">
        <v>26</v>
      </c>
      <c r="B10" t="s">
        <v>64</v>
      </c>
      <c r="D10" t="s">
        <v>64</v>
      </c>
      <c r="E10" t="s">
        <v>64</v>
      </c>
      <c r="F10" t="s">
        <v>70</v>
      </c>
      <c r="G10" t="s">
        <v>66</v>
      </c>
      <c r="H10" t="s">
        <v>30</v>
      </c>
      <c r="I10" t="s">
        <v>77</v>
      </c>
      <c r="J10" s="117">
        <v>17161134</v>
      </c>
      <c r="K10" s="117">
        <v>0</v>
      </c>
      <c r="L10" s="117">
        <v>150000000</v>
      </c>
      <c r="M10" s="122" t="s">
        <v>68</v>
      </c>
      <c r="N10" s="146">
        <v>45199</v>
      </c>
      <c r="O10" s="146">
        <f>EDATE(Table3[[#This Row],[Datum poslední revize]],24)</f>
        <v>45930</v>
      </c>
      <c r="P10" s="146">
        <f>EDATE(Table3[[#This Row],[Další revize]],12)</f>
        <v>46295</v>
      </c>
    </row>
    <row r="11" spans="1:16" x14ac:dyDescent="0.2">
      <c r="A11" s="144">
        <v>3</v>
      </c>
      <c r="B11" t="s">
        <v>64</v>
      </c>
      <c r="D11" t="s">
        <v>64</v>
      </c>
      <c r="E11" t="s">
        <v>64</v>
      </c>
      <c r="F11" t="s">
        <v>78</v>
      </c>
      <c r="G11" t="s">
        <v>66</v>
      </c>
      <c r="H11" t="s">
        <v>30</v>
      </c>
      <c r="I11" t="s">
        <v>79</v>
      </c>
      <c r="J11" s="121">
        <v>0</v>
      </c>
      <c r="K11" s="121">
        <v>0</v>
      </c>
      <c r="L11" s="121">
        <v>0.05</v>
      </c>
      <c r="M11" s="122" t="s">
        <v>68</v>
      </c>
      <c r="N11" s="146">
        <v>45199</v>
      </c>
      <c r="O11" s="146">
        <f>EDATE(Table3[[#This Row],[Datum poslední revize]],24)</f>
        <v>45930</v>
      </c>
      <c r="P11" s="146">
        <f>EDATE(Table3[[#This Row],[Další revize]],12)</f>
        <v>46295</v>
      </c>
    </row>
    <row r="12" spans="1:16" x14ac:dyDescent="0.2">
      <c r="A12" s="144">
        <v>31</v>
      </c>
      <c r="B12" t="s">
        <v>64</v>
      </c>
      <c r="D12" t="s">
        <v>64</v>
      </c>
      <c r="E12" t="s">
        <v>64</v>
      </c>
      <c r="F12" t="s">
        <v>78</v>
      </c>
      <c r="G12" t="s">
        <v>66</v>
      </c>
      <c r="H12" t="s">
        <v>30</v>
      </c>
      <c r="I12" t="s">
        <v>80</v>
      </c>
      <c r="J12" s="121">
        <v>0</v>
      </c>
      <c r="K12" s="121">
        <v>0</v>
      </c>
      <c r="L12" s="121">
        <v>0.05</v>
      </c>
      <c r="M12" s="122" t="s">
        <v>68</v>
      </c>
      <c r="N12" s="146">
        <v>45199</v>
      </c>
      <c r="O12" s="146">
        <f>EDATE(Table3[[#This Row],[Datum poslední revize]],24)</f>
        <v>45930</v>
      </c>
      <c r="P12" s="146">
        <f>EDATE(Table3[[#This Row],[Další revize]],12)</f>
        <v>46295</v>
      </c>
    </row>
    <row r="13" spans="1:16" x14ac:dyDescent="0.2">
      <c r="A13" s="144">
        <v>4</v>
      </c>
      <c r="B13" t="s">
        <v>64</v>
      </c>
      <c r="D13" t="s">
        <v>64</v>
      </c>
      <c r="E13" t="s">
        <v>64</v>
      </c>
      <c r="F13" t="s">
        <v>81</v>
      </c>
      <c r="G13" t="s">
        <v>66</v>
      </c>
      <c r="H13" t="s">
        <v>30</v>
      </c>
      <c r="I13" t="s">
        <v>82</v>
      </c>
      <c r="J13" s="117">
        <v>11.5</v>
      </c>
      <c r="K13" s="117">
        <v>0</v>
      </c>
      <c r="L13" s="117">
        <v>5</v>
      </c>
      <c r="M13" s="122" t="s">
        <v>68</v>
      </c>
      <c r="N13" s="146">
        <v>45199</v>
      </c>
      <c r="O13" s="146">
        <f>EDATE(Table3[[#This Row],[Datum poslední revize]],24)</f>
        <v>45930</v>
      </c>
      <c r="P13" s="146">
        <f>EDATE(Table3[[#This Row],[Další revize]],12)</f>
        <v>46295</v>
      </c>
    </row>
    <row r="14" spans="1:16" x14ac:dyDescent="0.2">
      <c r="A14" s="144">
        <v>41</v>
      </c>
      <c r="B14" t="s">
        <v>64</v>
      </c>
      <c r="D14" t="s">
        <v>64</v>
      </c>
      <c r="E14" t="s">
        <v>64</v>
      </c>
      <c r="F14" t="s">
        <v>81</v>
      </c>
      <c r="G14" t="s">
        <v>66</v>
      </c>
      <c r="H14" t="s">
        <v>30</v>
      </c>
      <c r="I14" t="s">
        <v>83</v>
      </c>
      <c r="J14" s="117">
        <v>2</v>
      </c>
      <c r="K14" s="117">
        <v>0</v>
      </c>
      <c r="L14" s="117">
        <v>5</v>
      </c>
      <c r="M14" s="122" t="s">
        <v>68</v>
      </c>
      <c r="N14" s="146">
        <v>45199</v>
      </c>
      <c r="O14" s="146">
        <f>EDATE(Table3[[#This Row],[Datum poslední revize]],24)</f>
        <v>45930</v>
      </c>
      <c r="P14" s="146">
        <f>EDATE(Table3[[#This Row],[Další revize]],12)</f>
        <v>46295</v>
      </c>
    </row>
    <row r="15" spans="1:16" x14ac:dyDescent="0.2">
      <c r="A15" s="144">
        <v>5</v>
      </c>
      <c r="B15" t="s">
        <v>64</v>
      </c>
      <c r="D15" t="s">
        <v>64</v>
      </c>
      <c r="E15" t="s">
        <v>64</v>
      </c>
      <c r="F15" t="s">
        <v>84</v>
      </c>
      <c r="G15" t="s">
        <v>66</v>
      </c>
      <c r="H15" t="s">
        <v>30</v>
      </c>
      <c r="I15" t="s">
        <v>85</v>
      </c>
      <c r="J15" s="117">
        <v>123000000</v>
      </c>
      <c r="K15" s="117">
        <v>0</v>
      </c>
      <c r="L15" s="117">
        <v>150000000</v>
      </c>
      <c r="M15" s="122" t="s">
        <v>68</v>
      </c>
      <c r="N15" s="146">
        <v>45199</v>
      </c>
      <c r="O15" s="146">
        <f>EDATE(Table3[[#This Row],[Datum poslední revize]],24)</f>
        <v>45930</v>
      </c>
      <c r="P15" s="146">
        <f>EDATE(Table3[[#This Row],[Další revize]],12)</f>
        <v>46295</v>
      </c>
    </row>
    <row r="16" spans="1:16" x14ac:dyDescent="0.2">
      <c r="A16" s="144">
        <v>51</v>
      </c>
      <c r="B16" t="s">
        <v>64</v>
      </c>
      <c r="D16" t="s">
        <v>64</v>
      </c>
      <c r="E16" t="s">
        <v>64</v>
      </c>
      <c r="F16" t="s">
        <v>84</v>
      </c>
      <c r="G16" t="s">
        <v>66</v>
      </c>
      <c r="H16" t="s">
        <v>30</v>
      </c>
      <c r="I16" t="s">
        <v>86</v>
      </c>
      <c r="J16" s="117">
        <v>17161134</v>
      </c>
      <c r="K16" s="117">
        <v>0</v>
      </c>
      <c r="L16" s="117">
        <v>20000000</v>
      </c>
      <c r="M16" s="122" t="s">
        <v>68</v>
      </c>
      <c r="N16" s="146">
        <v>45199</v>
      </c>
      <c r="O16" s="146">
        <f>EDATE(Table3[[#This Row],[Datum poslední revize]],24)</f>
        <v>45930</v>
      </c>
      <c r="P16" s="146">
        <f>EDATE(Table3[[#This Row],[Další revize]],12)</f>
        <v>46295</v>
      </c>
    </row>
    <row r="17" spans="1:16" x14ac:dyDescent="0.2">
      <c r="A17" s="144">
        <v>52</v>
      </c>
      <c r="B17" t="s">
        <v>64</v>
      </c>
      <c r="D17" t="s">
        <v>64</v>
      </c>
      <c r="E17" t="s">
        <v>64</v>
      </c>
      <c r="F17" t="s">
        <v>84</v>
      </c>
      <c r="G17" t="s">
        <v>66</v>
      </c>
      <c r="H17" t="s">
        <v>30</v>
      </c>
      <c r="I17" t="s">
        <v>87</v>
      </c>
      <c r="J17" s="117">
        <v>0</v>
      </c>
      <c r="K17" s="117">
        <v>0</v>
      </c>
      <c r="L17" s="117">
        <v>15000000</v>
      </c>
      <c r="M17" s="122" t="s">
        <v>68</v>
      </c>
      <c r="N17" s="146">
        <v>45199</v>
      </c>
      <c r="O17" s="146">
        <f>EDATE(Table3[[#This Row],[Datum poslední revize]],24)</f>
        <v>45930</v>
      </c>
      <c r="P17" s="146">
        <f>EDATE(Table3[[#This Row],[Další revize]],12)</f>
        <v>46295</v>
      </c>
    </row>
    <row r="18" spans="1:16" x14ac:dyDescent="0.2">
      <c r="A18" s="144">
        <v>5</v>
      </c>
      <c r="B18" t="s">
        <v>64</v>
      </c>
      <c r="D18" t="s">
        <v>64</v>
      </c>
      <c r="E18" t="s">
        <v>64</v>
      </c>
      <c r="F18" t="s">
        <v>84</v>
      </c>
      <c r="G18" t="s">
        <v>66</v>
      </c>
      <c r="H18" t="s">
        <v>30</v>
      </c>
      <c r="I18" t="s">
        <v>88</v>
      </c>
      <c r="J18" s="117">
        <v>262440455</v>
      </c>
      <c r="K18" s="117">
        <v>250000000</v>
      </c>
      <c r="L18" s="117">
        <v>450000000</v>
      </c>
      <c r="M18" s="122" t="s">
        <v>68</v>
      </c>
      <c r="N18" s="146">
        <v>45199</v>
      </c>
      <c r="O18" s="146">
        <f>EDATE(Table3[[#This Row],[Datum poslední revize]],24)</f>
        <v>45930</v>
      </c>
      <c r="P18" s="146">
        <f>EDATE(Table3[[#This Row],[Další revize]],12)</f>
        <v>46295</v>
      </c>
    </row>
    <row r="19" spans="1:16" x14ac:dyDescent="0.2">
      <c r="A19" s="144">
        <v>51</v>
      </c>
      <c r="B19" t="s">
        <v>64</v>
      </c>
      <c r="D19" t="s">
        <v>64</v>
      </c>
      <c r="E19" t="s">
        <v>64</v>
      </c>
      <c r="F19" t="s">
        <v>84</v>
      </c>
      <c r="G19" t="s">
        <v>66</v>
      </c>
      <c r="H19" t="s">
        <v>30</v>
      </c>
      <c r="I19" t="s">
        <v>89</v>
      </c>
      <c r="J19" s="117">
        <v>0</v>
      </c>
      <c r="K19" s="117">
        <v>0</v>
      </c>
      <c r="L19" s="117">
        <v>60000000</v>
      </c>
      <c r="M19" s="122" t="s">
        <v>68</v>
      </c>
      <c r="N19" s="146">
        <v>45199</v>
      </c>
      <c r="O19" s="146">
        <f>EDATE(Table3[[#This Row],[Datum poslední revize]],24)</f>
        <v>45930</v>
      </c>
      <c r="P19" s="146">
        <f>EDATE(Table3[[#This Row],[Další revize]],12)</f>
        <v>46295</v>
      </c>
    </row>
    <row r="20" spans="1:16" x14ac:dyDescent="0.2">
      <c r="A20" s="144">
        <v>52</v>
      </c>
      <c r="B20" t="s">
        <v>64</v>
      </c>
      <c r="D20" t="s">
        <v>64</v>
      </c>
      <c r="E20" t="s">
        <v>64</v>
      </c>
      <c r="F20" t="s">
        <v>84</v>
      </c>
      <c r="G20" t="s">
        <v>66</v>
      </c>
      <c r="H20" t="s">
        <v>30</v>
      </c>
      <c r="I20" t="s">
        <v>90</v>
      </c>
      <c r="J20" s="117">
        <v>17161134</v>
      </c>
      <c r="K20" s="117">
        <v>0</v>
      </c>
      <c r="L20" s="117">
        <v>100000000</v>
      </c>
      <c r="M20" s="122" t="s">
        <v>68</v>
      </c>
      <c r="N20" s="146">
        <v>45199</v>
      </c>
      <c r="O20" s="146">
        <f>EDATE(Table3[[#This Row],[Datum poslední revize]],24)</f>
        <v>45930</v>
      </c>
      <c r="P20" s="146">
        <f>EDATE(Table3[[#This Row],[Další revize]],12)</f>
        <v>46295</v>
      </c>
    </row>
    <row r="21" spans="1:16" x14ac:dyDescent="0.2">
      <c r="A21" s="144">
        <v>53</v>
      </c>
      <c r="B21" t="s">
        <v>64</v>
      </c>
      <c r="D21" t="s">
        <v>64</v>
      </c>
      <c r="E21" t="s">
        <v>64</v>
      </c>
      <c r="F21" t="s">
        <v>84</v>
      </c>
      <c r="G21" t="s">
        <v>66</v>
      </c>
      <c r="H21" t="s">
        <v>30</v>
      </c>
      <c r="I21" t="s">
        <v>91</v>
      </c>
      <c r="J21" s="117">
        <v>134816247</v>
      </c>
      <c r="K21" s="117">
        <v>100000000</v>
      </c>
      <c r="L21" s="117">
        <v>160000000</v>
      </c>
      <c r="M21" s="122" t="s">
        <v>68</v>
      </c>
      <c r="N21" s="146">
        <v>45199</v>
      </c>
      <c r="O21" s="146">
        <f>EDATE(Table3[[#This Row],[Datum poslední revize]],24)</f>
        <v>45930</v>
      </c>
      <c r="P21" s="146">
        <f>EDATE(Table3[[#This Row],[Další revize]],12)</f>
        <v>46295</v>
      </c>
    </row>
    <row r="22" spans="1:16" x14ac:dyDescent="0.2">
      <c r="A22" s="144">
        <v>54</v>
      </c>
      <c r="B22" t="s">
        <v>64</v>
      </c>
      <c r="D22" t="s">
        <v>64</v>
      </c>
      <c r="E22" t="s">
        <v>64</v>
      </c>
      <c r="F22" t="s">
        <v>84</v>
      </c>
      <c r="G22" t="s">
        <v>66</v>
      </c>
      <c r="H22" t="s">
        <v>30</v>
      </c>
      <c r="I22" t="s">
        <v>92</v>
      </c>
      <c r="J22" s="117">
        <v>563966135</v>
      </c>
      <c r="K22" s="117">
        <v>400000000</v>
      </c>
      <c r="L22" s="117">
        <v>9000000000</v>
      </c>
      <c r="M22" s="122" t="s">
        <v>68</v>
      </c>
      <c r="N22" s="146">
        <v>45199</v>
      </c>
      <c r="O22" s="146">
        <f>EDATE(Table3[[#This Row],[Datum poslední revize]],24)</f>
        <v>45930</v>
      </c>
      <c r="P22" s="146">
        <f>EDATE(Table3[[#This Row],[Další revize]],12)</f>
        <v>46295</v>
      </c>
    </row>
    <row r="23" spans="1:16" x14ac:dyDescent="0.2">
      <c r="A23" s="144">
        <v>6</v>
      </c>
      <c r="B23" t="s">
        <v>64</v>
      </c>
      <c r="D23" t="s">
        <v>64</v>
      </c>
      <c r="E23" t="s">
        <v>64</v>
      </c>
      <c r="F23" t="s">
        <v>93</v>
      </c>
      <c r="G23" t="s">
        <v>66</v>
      </c>
      <c r="H23" t="s">
        <v>30</v>
      </c>
      <c r="I23" t="s">
        <v>94</v>
      </c>
      <c r="J23">
        <v>0</v>
      </c>
      <c r="K23" s="122">
        <v>0</v>
      </c>
      <c r="L23" s="122">
        <v>50000000</v>
      </c>
      <c r="M23" s="122" t="s">
        <v>68</v>
      </c>
      <c r="N23" s="146">
        <v>45199</v>
      </c>
      <c r="O23" s="146">
        <f>EDATE(Table3[[#This Row],[Datum poslední revize]],24)</f>
        <v>45930</v>
      </c>
      <c r="P23" s="146">
        <f>EDATE(Table3[[#This Row],[Další revize]],12)</f>
        <v>46295</v>
      </c>
    </row>
    <row r="24" spans="1:16" x14ac:dyDescent="0.2">
      <c r="A24" s="144">
        <v>61</v>
      </c>
      <c r="B24" t="s">
        <v>64</v>
      </c>
      <c r="D24" t="s">
        <v>64</v>
      </c>
      <c r="E24" t="s">
        <v>64</v>
      </c>
      <c r="F24" t="s">
        <v>93</v>
      </c>
      <c r="G24" t="s">
        <v>66</v>
      </c>
      <c r="H24" t="s">
        <v>30</v>
      </c>
      <c r="I24" t="s">
        <v>95</v>
      </c>
      <c r="J24" s="122">
        <v>35348305</v>
      </c>
      <c r="K24" s="122">
        <v>30000000</v>
      </c>
      <c r="L24" s="122">
        <v>40000000</v>
      </c>
      <c r="M24" s="122" t="s">
        <v>68</v>
      </c>
      <c r="N24" s="146">
        <v>45199</v>
      </c>
      <c r="O24" s="146">
        <f>EDATE(Table3[[#This Row],[Datum poslední revize]],24)</f>
        <v>45930</v>
      </c>
      <c r="P24" s="146">
        <f>EDATE(Table3[[#This Row],[Další revize]],12)</f>
        <v>46295</v>
      </c>
    </row>
    <row r="25" spans="1:16" x14ac:dyDescent="0.2">
      <c r="A25" s="144">
        <v>62</v>
      </c>
      <c r="B25" t="s">
        <v>64</v>
      </c>
      <c r="D25" t="s">
        <v>64</v>
      </c>
      <c r="E25" t="s">
        <v>64</v>
      </c>
      <c r="F25" t="s">
        <v>93</v>
      </c>
      <c r="G25" t="s">
        <v>66</v>
      </c>
      <c r="H25" t="s">
        <v>30</v>
      </c>
      <c r="I25" t="s">
        <v>96</v>
      </c>
      <c r="J25" s="122">
        <v>12235159</v>
      </c>
      <c r="K25" s="122">
        <v>5000000</v>
      </c>
      <c r="L25" s="122">
        <v>20000000</v>
      </c>
      <c r="M25" s="122" t="s">
        <v>68</v>
      </c>
      <c r="N25" s="146">
        <v>45199</v>
      </c>
      <c r="O25" s="146">
        <f>EDATE(Table3[[#This Row],[Datum poslední revize]],24)</f>
        <v>45930</v>
      </c>
      <c r="P25" s="146">
        <f>EDATE(Table3[[#This Row],[Další revize]],12)</f>
        <v>46295</v>
      </c>
    </row>
    <row r="26" spans="1:16" x14ac:dyDescent="0.2">
      <c r="A26" s="144">
        <v>63</v>
      </c>
      <c r="B26" t="s">
        <v>64</v>
      </c>
      <c r="D26" t="s">
        <v>64</v>
      </c>
      <c r="E26" t="s">
        <v>64</v>
      </c>
      <c r="F26" t="s">
        <v>93</v>
      </c>
      <c r="G26" t="s">
        <v>66</v>
      </c>
      <c r="H26" t="s">
        <v>30</v>
      </c>
      <c r="I26" t="s">
        <v>97</v>
      </c>
      <c r="J26" s="122">
        <v>67608740</v>
      </c>
      <c r="K26" s="122">
        <v>10000000</v>
      </c>
      <c r="L26" s="122">
        <v>90000000</v>
      </c>
      <c r="M26" s="122" t="s">
        <v>68</v>
      </c>
      <c r="N26" s="146">
        <v>45199</v>
      </c>
      <c r="O26" s="146">
        <f>EDATE(Table3[[#This Row],[Datum poslední revize]],24)</f>
        <v>45930</v>
      </c>
      <c r="P26" s="146">
        <f>EDATE(Table3[[#This Row],[Další revize]],12)</f>
        <v>46295</v>
      </c>
    </row>
    <row r="27" spans="1:16" x14ac:dyDescent="0.2">
      <c r="A27" s="144">
        <v>64</v>
      </c>
      <c r="B27" t="s">
        <v>64</v>
      </c>
      <c r="D27" t="s">
        <v>64</v>
      </c>
      <c r="E27" t="s">
        <v>64</v>
      </c>
      <c r="F27" t="s">
        <v>93</v>
      </c>
      <c r="G27" t="s">
        <v>66</v>
      </c>
      <c r="H27" t="s">
        <v>30</v>
      </c>
      <c r="I27" t="s">
        <v>98</v>
      </c>
      <c r="J27" s="122">
        <v>367377</v>
      </c>
      <c r="K27" s="122">
        <v>0</v>
      </c>
      <c r="L27" s="122">
        <v>10000000</v>
      </c>
      <c r="M27" s="122" t="s">
        <v>68</v>
      </c>
      <c r="N27" s="146">
        <v>45199</v>
      </c>
      <c r="O27" s="146">
        <f>EDATE(Table3[[#This Row],[Datum poslední revize]],24)</f>
        <v>45930</v>
      </c>
      <c r="P27" s="146">
        <f>EDATE(Table3[[#This Row],[Další revize]],12)</f>
        <v>46295</v>
      </c>
    </row>
    <row r="28" spans="1:16" x14ac:dyDescent="0.2">
      <c r="A28" s="144">
        <v>65</v>
      </c>
      <c r="B28" t="s">
        <v>64</v>
      </c>
      <c r="D28" t="s">
        <v>64</v>
      </c>
      <c r="E28" t="s">
        <v>64</v>
      </c>
      <c r="F28" t="s">
        <v>93</v>
      </c>
      <c r="G28" t="s">
        <v>66</v>
      </c>
      <c r="H28" t="s">
        <v>30</v>
      </c>
      <c r="I28" t="s">
        <v>99</v>
      </c>
      <c r="J28" s="122">
        <v>3712313</v>
      </c>
      <c r="K28" s="122">
        <v>0</v>
      </c>
      <c r="L28" s="122">
        <v>10000000</v>
      </c>
      <c r="M28" s="122" t="s">
        <v>68</v>
      </c>
      <c r="N28" s="146">
        <v>45199</v>
      </c>
      <c r="O28" s="146">
        <f>EDATE(Table3[[#This Row],[Datum poslední revize]],24)</f>
        <v>45930</v>
      </c>
      <c r="P28" s="146">
        <f>EDATE(Table3[[#This Row],[Další revize]],12)</f>
        <v>46295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9621D-0224-4AA9-B862-059C6101D1DB}">
  <dimension ref="A1:L28"/>
  <sheetViews>
    <sheetView workbookViewId="0">
      <selection activeCell="A2" sqref="A2"/>
    </sheetView>
  </sheetViews>
  <sheetFormatPr defaultRowHeight="12.75" x14ac:dyDescent="0.2"/>
  <cols>
    <col min="2" max="2" width="22.28515625" bestFit="1" customWidth="1"/>
    <col min="5" max="5" width="22.28515625" bestFit="1" customWidth="1"/>
    <col min="6" max="6" width="18.7109375" customWidth="1"/>
    <col min="7" max="7" width="32" bestFit="1" customWidth="1"/>
    <col min="8" max="8" width="32.5703125" customWidth="1"/>
    <col min="9" max="9" width="49.42578125" bestFit="1" customWidth="1"/>
    <col min="10" max="10" width="15.5703125" bestFit="1" customWidth="1"/>
    <col min="11" max="11" width="15.140625" bestFit="1" customWidth="1"/>
    <col min="12" max="12" width="15.5703125" bestFit="1" customWidth="1"/>
  </cols>
  <sheetData>
    <row r="1" spans="1:12" ht="38.25" x14ac:dyDescent="0.2">
      <c r="A1" s="33" t="s">
        <v>0</v>
      </c>
      <c r="B1" s="124" t="s">
        <v>1</v>
      </c>
      <c r="C1" s="124" t="s">
        <v>2</v>
      </c>
      <c r="D1" s="31" t="s">
        <v>3</v>
      </c>
      <c r="E1" s="35" t="s">
        <v>4</v>
      </c>
      <c r="F1" s="129" t="s">
        <v>5</v>
      </c>
      <c r="G1" s="123" t="s">
        <v>6</v>
      </c>
      <c r="H1" s="123" t="s">
        <v>7</v>
      </c>
      <c r="I1" s="123" t="s">
        <v>8</v>
      </c>
      <c r="J1" s="123" t="s">
        <v>9</v>
      </c>
      <c r="K1" s="123" t="s">
        <v>10</v>
      </c>
      <c r="L1" s="123" t="s">
        <v>11</v>
      </c>
    </row>
    <row r="2" spans="1:12" x14ac:dyDescent="0.2">
      <c r="A2">
        <v>1</v>
      </c>
      <c r="B2" t="s">
        <v>100</v>
      </c>
      <c r="D2" t="s">
        <v>100</v>
      </c>
      <c r="E2" t="s">
        <v>100</v>
      </c>
      <c r="F2" t="s">
        <v>101</v>
      </c>
      <c r="G2" t="s">
        <v>102</v>
      </c>
      <c r="H2" t="s">
        <v>102</v>
      </c>
      <c r="I2" t="s">
        <v>103</v>
      </c>
      <c r="J2" s="117">
        <v>62151659.259999998</v>
      </c>
      <c r="K2" s="117">
        <v>25000000</v>
      </c>
      <c r="L2" s="117">
        <v>75000000</v>
      </c>
    </row>
    <row r="3" spans="1:12" x14ac:dyDescent="0.2">
      <c r="F3" t="s">
        <v>101</v>
      </c>
      <c r="G3" t="s">
        <v>102</v>
      </c>
      <c r="H3" t="s">
        <v>102</v>
      </c>
      <c r="I3" t="s">
        <v>104</v>
      </c>
      <c r="J3" s="117">
        <v>2324252.31</v>
      </c>
      <c r="K3" s="117">
        <v>0</v>
      </c>
      <c r="L3" s="117">
        <v>5000000</v>
      </c>
    </row>
    <row r="4" spans="1:12" x14ac:dyDescent="0.2">
      <c r="A4">
        <v>2</v>
      </c>
      <c r="B4" t="s">
        <v>100</v>
      </c>
      <c r="D4" t="s">
        <v>100</v>
      </c>
      <c r="E4" t="s">
        <v>100</v>
      </c>
      <c r="F4" t="s">
        <v>105</v>
      </c>
      <c r="G4" t="s">
        <v>106</v>
      </c>
      <c r="H4" t="s">
        <v>30</v>
      </c>
      <c r="I4" t="s">
        <v>107</v>
      </c>
      <c r="J4" s="117">
        <v>15000000000</v>
      </c>
      <c r="K4" s="117">
        <v>0</v>
      </c>
      <c r="L4" s="117">
        <v>15000000000</v>
      </c>
    </row>
    <row r="5" spans="1:12" x14ac:dyDescent="0.2">
      <c r="F5" t="s">
        <v>105</v>
      </c>
      <c r="G5" t="s">
        <v>106</v>
      </c>
      <c r="H5" t="s">
        <v>30</v>
      </c>
      <c r="I5" t="s">
        <v>108</v>
      </c>
      <c r="J5" s="117">
        <v>103093832</v>
      </c>
      <c r="K5" s="117">
        <v>0</v>
      </c>
      <c r="L5" s="117">
        <v>150000000</v>
      </c>
    </row>
    <row r="6" spans="1:12" x14ac:dyDescent="0.2">
      <c r="A6">
        <v>3</v>
      </c>
      <c r="B6" t="s">
        <v>100</v>
      </c>
      <c r="D6" t="s">
        <v>100</v>
      </c>
      <c r="E6" t="s">
        <v>100</v>
      </c>
      <c r="F6" t="s">
        <v>109</v>
      </c>
      <c r="G6" t="s">
        <v>106</v>
      </c>
      <c r="H6" t="s">
        <v>30</v>
      </c>
      <c r="I6" t="s">
        <v>110</v>
      </c>
      <c r="J6" s="117">
        <v>49927561.710000001</v>
      </c>
      <c r="K6" s="117">
        <v>0</v>
      </c>
      <c r="L6" s="117">
        <v>70000000</v>
      </c>
    </row>
    <row r="7" spans="1:12" x14ac:dyDescent="0.2">
      <c r="A7">
        <v>4</v>
      </c>
      <c r="B7" t="s">
        <v>100</v>
      </c>
      <c r="D7" t="s">
        <v>100</v>
      </c>
      <c r="E7" t="s">
        <v>100</v>
      </c>
      <c r="F7" t="s">
        <v>111</v>
      </c>
      <c r="G7" t="s">
        <v>106</v>
      </c>
      <c r="H7" t="s">
        <v>30</v>
      </c>
      <c r="I7" t="s">
        <v>112</v>
      </c>
      <c r="J7" s="117">
        <v>56412294.561991423</v>
      </c>
      <c r="K7" s="117">
        <v>40000000</v>
      </c>
      <c r="L7" s="117">
        <v>70000000</v>
      </c>
    </row>
    <row r="8" spans="1:12" x14ac:dyDescent="0.2">
      <c r="J8" s="117"/>
      <c r="K8" s="117"/>
      <c r="L8" s="117"/>
    </row>
    <row r="9" spans="1:12" x14ac:dyDescent="0.2">
      <c r="J9" s="117"/>
      <c r="K9" s="117"/>
      <c r="L9" s="117"/>
    </row>
    <row r="10" spans="1:12" x14ac:dyDescent="0.2">
      <c r="J10" s="117"/>
      <c r="K10" s="117"/>
      <c r="L10" s="117"/>
    </row>
    <row r="11" spans="1:12" x14ac:dyDescent="0.2">
      <c r="J11" s="121"/>
      <c r="K11" s="121"/>
      <c r="L11" s="121"/>
    </row>
    <row r="12" spans="1:12" x14ac:dyDescent="0.2">
      <c r="J12" s="121"/>
      <c r="K12" s="121"/>
      <c r="L12" s="121"/>
    </row>
    <row r="13" spans="1:12" x14ac:dyDescent="0.2">
      <c r="J13" s="117"/>
      <c r="K13" s="117"/>
      <c r="L13" s="117"/>
    </row>
    <row r="14" spans="1:12" x14ac:dyDescent="0.2">
      <c r="J14" s="117"/>
      <c r="K14" s="117"/>
      <c r="L14" s="117"/>
    </row>
    <row r="15" spans="1:12" x14ac:dyDescent="0.2">
      <c r="J15" s="117"/>
      <c r="K15" s="117"/>
      <c r="L15" s="117"/>
    </row>
    <row r="16" spans="1:12" x14ac:dyDescent="0.2">
      <c r="J16" s="117"/>
      <c r="K16" s="117"/>
      <c r="L16" s="117"/>
    </row>
    <row r="17" spans="10:12" x14ac:dyDescent="0.2">
      <c r="J17" s="117"/>
      <c r="K17" s="117"/>
      <c r="L17" s="117"/>
    </row>
    <row r="18" spans="10:12" x14ac:dyDescent="0.2">
      <c r="J18" s="117"/>
      <c r="K18" s="117"/>
      <c r="L18" s="117"/>
    </row>
    <row r="19" spans="10:12" x14ac:dyDescent="0.2">
      <c r="J19" s="117"/>
      <c r="K19" s="117"/>
      <c r="L19" s="117"/>
    </row>
    <row r="20" spans="10:12" x14ac:dyDescent="0.2">
      <c r="J20" s="117"/>
      <c r="K20" s="117"/>
      <c r="L20" s="117"/>
    </row>
    <row r="21" spans="10:12" x14ac:dyDescent="0.2">
      <c r="J21" s="117"/>
      <c r="K21" s="117"/>
      <c r="L21" s="117"/>
    </row>
    <row r="22" spans="10:12" x14ac:dyDescent="0.2">
      <c r="J22" s="117"/>
      <c r="K22" s="117"/>
      <c r="L22" s="117"/>
    </row>
    <row r="23" spans="10:12" x14ac:dyDescent="0.2">
      <c r="K23" s="122"/>
      <c r="L23" s="122"/>
    </row>
    <row r="24" spans="10:12" x14ac:dyDescent="0.2">
      <c r="J24" s="122"/>
      <c r="K24" s="122"/>
      <c r="L24" s="122"/>
    </row>
    <row r="25" spans="10:12" x14ac:dyDescent="0.2">
      <c r="J25" s="122"/>
      <c r="K25" s="122"/>
      <c r="L25" s="122"/>
    </row>
    <row r="26" spans="10:12" x14ac:dyDescent="0.2">
      <c r="J26" s="122"/>
      <c r="K26" s="122"/>
      <c r="L26" s="122"/>
    </row>
    <row r="27" spans="10:12" x14ac:dyDescent="0.2">
      <c r="J27" s="122"/>
      <c r="K27" s="122"/>
      <c r="L27" s="122"/>
    </row>
    <row r="28" spans="10:12" x14ac:dyDescent="0.2">
      <c r="J28" s="122"/>
      <c r="K28" s="122"/>
      <c r="L28" s="122"/>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FE4AF-4DB0-4A6D-A806-3B08BD15320E}">
  <dimension ref="A1:O45"/>
  <sheetViews>
    <sheetView zoomScale="70" zoomScaleNormal="70" workbookViewId="0">
      <selection activeCell="L45" sqref="L45"/>
    </sheetView>
  </sheetViews>
  <sheetFormatPr defaultRowHeight="12.75" x14ac:dyDescent="0.2"/>
  <cols>
    <col min="2" max="2" width="13.7109375" customWidth="1"/>
    <col min="3" max="3" width="11.85546875" customWidth="1"/>
    <col min="4" max="4" width="33.85546875" bestFit="1" customWidth="1"/>
    <col min="5" max="5" width="21.85546875" customWidth="1"/>
    <col min="6" max="6" width="37.42578125" customWidth="1"/>
    <col min="7" max="7" width="30.5703125" bestFit="1" customWidth="1"/>
    <col min="8" max="8" width="33" customWidth="1"/>
    <col min="9" max="9" width="38.7109375" bestFit="1" customWidth="1"/>
    <col min="10" max="12" width="11.85546875" bestFit="1" customWidth="1"/>
  </cols>
  <sheetData>
    <row r="1" spans="1:15" x14ac:dyDescent="0.2">
      <c r="A1" s="125" t="s">
        <v>0</v>
      </c>
      <c r="B1" s="126" t="s">
        <v>1</v>
      </c>
      <c r="C1" s="126" t="s">
        <v>2</v>
      </c>
      <c r="D1" s="127" t="s">
        <v>3</v>
      </c>
      <c r="E1" s="128" t="s">
        <v>4</v>
      </c>
      <c r="F1" s="128" t="s">
        <v>5</v>
      </c>
      <c r="G1" s="123" t="s">
        <v>6</v>
      </c>
      <c r="H1" s="123" t="s">
        <v>7</v>
      </c>
      <c r="I1" s="123" t="s">
        <v>8</v>
      </c>
      <c r="J1" s="123" t="s">
        <v>9</v>
      </c>
      <c r="K1" s="123" t="s">
        <v>10</v>
      </c>
      <c r="L1" s="123" t="s">
        <v>11</v>
      </c>
    </row>
    <row r="2" spans="1:15" x14ac:dyDescent="0.2">
      <c r="A2">
        <v>1</v>
      </c>
      <c r="D2" t="s">
        <v>113</v>
      </c>
      <c r="E2" t="s">
        <v>114</v>
      </c>
      <c r="F2" t="s">
        <v>115</v>
      </c>
      <c r="G2" t="s">
        <v>116</v>
      </c>
      <c r="H2" t="s">
        <v>116</v>
      </c>
      <c r="I2" t="s">
        <v>117</v>
      </c>
      <c r="J2">
        <v>0</v>
      </c>
      <c r="K2">
        <v>0</v>
      </c>
      <c r="L2">
        <v>3</v>
      </c>
      <c r="N2">
        <v>277500</v>
      </c>
      <c r="O2">
        <f>N2/40000000</f>
        <v>6.9375000000000001E-3</v>
      </c>
    </row>
    <row r="3" spans="1:15" x14ac:dyDescent="0.2">
      <c r="A3">
        <v>2</v>
      </c>
      <c r="D3" t="s">
        <v>113</v>
      </c>
      <c r="E3" t="s">
        <v>114</v>
      </c>
      <c r="F3" t="s">
        <v>118</v>
      </c>
      <c r="G3" t="s">
        <v>119</v>
      </c>
      <c r="H3" t="s">
        <v>120</v>
      </c>
      <c r="I3" t="s">
        <v>121</v>
      </c>
      <c r="J3" s="118">
        <v>6.9375000000000001E-3</v>
      </c>
      <c r="K3" s="116">
        <v>0.01</v>
      </c>
      <c r="L3" s="116">
        <v>0.05</v>
      </c>
      <c r="N3">
        <v>46200</v>
      </c>
    </row>
    <row r="4" spans="1:15" x14ac:dyDescent="0.2">
      <c r="A4">
        <v>3</v>
      </c>
      <c r="D4" t="s">
        <v>113</v>
      </c>
      <c r="E4" t="s">
        <v>114</v>
      </c>
      <c r="F4" t="s">
        <v>122</v>
      </c>
      <c r="G4" t="s">
        <v>123</v>
      </c>
      <c r="H4" t="s">
        <v>124</v>
      </c>
      <c r="I4" t="s">
        <v>117</v>
      </c>
      <c r="J4">
        <v>0</v>
      </c>
      <c r="K4">
        <v>0</v>
      </c>
      <c r="L4" s="117">
        <v>0</v>
      </c>
    </row>
    <row r="5" spans="1:15" x14ac:dyDescent="0.2">
      <c r="A5">
        <v>4</v>
      </c>
      <c r="D5" t="s">
        <v>113</v>
      </c>
      <c r="E5" t="s">
        <v>114</v>
      </c>
      <c r="F5" t="s">
        <v>125</v>
      </c>
      <c r="G5" t="s">
        <v>116</v>
      </c>
      <c r="H5" t="s">
        <v>126</v>
      </c>
      <c r="I5" t="s">
        <v>117</v>
      </c>
      <c r="J5">
        <v>0</v>
      </c>
      <c r="K5">
        <v>0</v>
      </c>
      <c r="L5" s="117">
        <v>0</v>
      </c>
    </row>
    <row r="6" spans="1:15" x14ac:dyDescent="0.2">
      <c r="A6">
        <v>5</v>
      </c>
      <c r="D6" t="s">
        <v>113</v>
      </c>
      <c r="E6" t="s">
        <v>114</v>
      </c>
      <c r="F6" t="s">
        <v>127</v>
      </c>
      <c r="G6" t="s">
        <v>123</v>
      </c>
      <c r="H6" t="s">
        <v>126</v>
      </c>
      <c r="I6" t="s">
        <v>117</v>
      </c>
      <c r="J6">
        <v>0</v>
      </c>
      <c r="K6">
        <v>0</v>
      </c>
      <c r="L6" s="117">
        <v>2</v>
      </c>
    </row>
    <row r="7" spans="1:15" x14ac:dyDescent="0.2">
      <c r="H7" t="s">
        <v>126</v>
      </c>
      <c r="I7" t="s">
        <v>128</v>
      </c>
      <c r="J7">
        <v>0</v>
      </c>
      <c r="K7">
        <v>0</v>
      </c>
      <c r="L7" s="117">
        <v>2000</v>
      </c>
    </row>
    <row r="8" spans="1:15" x14ac:dyDescent="0.2">
      <c r="A8">
        <v>6</v>
      </c>
      <c r="D8" t="s">
        <v>113</v>
      </c>
      <c r="E8" t="s">
        <v>114</v>
      </c>
      <c r="F8" t="s">
        <v>129</v>
      </c>
      <c r="G8" t="s">
        <v>123</v>
      </c>
      <c r="H8" t="s">
        <v>126</v>
      </c>
      <c r="I8" t="s">
        <v>117</v>
      </c>
      <c r="J8">
        <v>0</v>
      </c>
      <c r="K8">
        <v>0</v>
      </c>
      <c r="L8" s="117">
        <v>1</v>
      </c>
    </row>
    <row r="9" spans="1:15" x14ac:dyDescent="0.2">
      <c r="H9" t="s">
        <v>126</v>
      </c>
      <c r="I9" t="s">
        <v>128</v>
      </c>
      <c r="J9">
        <v>0</v>
      </c>
      <c r="K9">
        <v>0</v>
      </c>
      <c r="L9" s="117">
        <v>2000</v>
      </c>
    </row>
    <row r="10" spans="1:15" x14ac:dyDescent="0.2">
      <c r="H10" t="s">
        <v>130</v>
      </c>
      <c r="I10" t="s">
        <v>131</v>
      </c>
      <c r="J10" t="s">
        <v>132</v>
      </c>
      <c r="K10" t="s">
        <v>133</v>
      </c>
      <c r="L10" s="117">
        <v>2</v>
      </c>
    </row>
    <row r="11" spans="1:15" x14ac:dyDescent="0.2">
      <c r="A11">
        <v>7</v>
      </c>
      <c r="D11" t="s">
        <v>134</v>
      </c>
      <c r="E11" t="s">
        <v>114</v>
      </c>
      <c r="F11" t="s">
        <v>135</v>
      </c>
      <c r="G11" t="s">
        <v>136</v>
      </c>
      <c r="H11" t="s">
        <v>120</v>
      </c>
      <c r="I11" t="s">
        <v>117</v>
      </c>
      <c r="J11">
        <v>0</v>
      </c>
      <c r="K11">
        <v>0</v>
      </c>
      <c r="L11" s="117">
        <v>1</v>
      </c>
    </row>
    <row r="12" spans="1:15" x14ac:dyDescent="0.2">
      <c r="H12" t="s">
        <v>120</v>
      </c>
      <c r="I12" t="s">
        <v>128</v>
      </c>
      <c r="J12">
        <v>0</v>
      </c>
      <c r="K12">
        <v>0</v>
      </c>
      <c r="L12" s="117">
        <v>2000</v>
      </c>
    </row>
    <row r="13" spans="1:15" x14ac:dyDescent="0.2">
      <c r="A13">
        <v>8</v>
      </c>
      <c r="D13" t="s">
        <v>134</v>
      </c>
      <c r="E13" t="s">
        <v>114</v>
      </c>
      <c r="F13" t="s">
        <v>137</v>
      </c>
      <c r="G13" t="s">
        <v>136</v>
      </c>
      <c r="H13" t="s">
        <v>120</v>
      </c>
      <c r="I13" t="s">
        <v>117</v>
      </c>
      <c r="J13">
        <v>0</v>
      </c>
      <c r="K13">
        <v>0</v>
      </c>
      <c r="L13" s="117">
        <v>1</v>
      </c>
    </row>
    <row r="14" spans="1:15" x14ac:dyDescent="0.2">
      <c r="H14" t="s">
        <v>120</v>
      </c>
      <c r="I14" t="s">
        <v>128</v>
      </c>
      <c r="J14">
        <v>0</v>
      </c>
      <c r="K14">
        <v>0</v>
      </c>
      <c r="L14" s="117">
        <v>2000</v>
      </c>
    </row>
    <row r="15" spans="1:15" x14ac:dyDescent="0.2">
      <c r="A15">
        <v>9</v>
      </c>
      <c r="D15" t="s">
        <v>134</v>
      </c>
      <c r="E15" t="s">
        <v>114</v>
      </c>
      <c r="F15" t="s">
        <v>138</v>
      </c>
      <c r="G15" t="s">
        <v>136</v>
      </c>
      <c r="H15" t="s">
        <v>120</v>
      </c>
      <c r="I15" t="s">
        <v>117</v>
      </c>
      <c r="J15">
        <v>0</v>
      </c>
      <c r="K15">
        <v>0</v>
      </c>
      <c r="L15" s="117">
        <v>1</v>
      </c>
    </row>
    <row r="16" spans="1:15" x14ac:dyDescent="0.2">
      <c r="H16" t="s">
        <v>120</v>
      </c>
      <c r="I16" t="s">
        <v>128</v>
      </c>
      <c r="J16">
        <v>0</v>
      </c>
      <c r="K16">
        <v>0</v>
      </c>
      <c r="L16" s="117">
        <v>2000</v>
      </c>
    </row>
    <row r="17" spans="1:12" x14ac:dyDescent="0.2">
      <c r="A17">
        <v>10</v>
      </c>
      <c r="D17" t="s">
        <v>134</v>
      </c>
      <c r="E17" t="s">
        <v>114</v>
      </c>
      <c r="F17" t="s">
        <v>139</v>
      </c>
      <c r="G17" t="s">
        <v>140</v>
      </c>
      <c r="H17" t="s">
        <v>126</v>
      </c>
      <c r="I17" t="s">
        <v>117</v>
      </c>
      <c r="J17">
        <v>0</v>
      </c>
      <c r="K17">
        <v>0</v>
      </c>
      <c r="L17" s="117">
        <v>2</v>
      </c>
    </row>
    <row r="18" spans="1:12" x14ac:dyDescent="0.2">
      <c r="A18">
        <v>11</v>
      </c>
      <c r="D18" t="s">
        <v>134</v>
      </c>
      <c r="E18" t="s">
        <v>114</v>
      </c>
      <c r="F18" t="s">
        <v>141</v>
      </c>
      <c r="G18" t="s">
        <v>140</v>
      </c>
      <c r="H18" t="s">
        <v>126</v>
      </c>
      <c r="I18" t="s">
        <v>117</v>
      </c>
      <c r="J18">
        <v>0</v>
      </c>
      <c r="K18">
        <v>0</v>
      </c>
      <c r="L18" s="117">
        <v>1</v>
      </c>
    </row>
    <row r="19" spans="1:12" x14ac:dyDescent="0.2">
      <c r="A19">
        <v>12</v>
      </c>
      <c r="D19" t="s">
        <v>142</v>
      </c>
      <c r="E19" t="s">
        <v>114</v>
      </c>
      <c r="F19" t="s">
        <v>143</v>
      </c>
      <c r="G19" t="s">
        <v>144</v>
      </c>
      <c r="H19" t="s">
        <v>145</v>
      </c>
      <c r="I19" t="s">
        <v>117</v>
      </c>
      <c r="J19">
        <v>0</v>
      </c>
      <c r="K19">
        <v>0</v>
      </c>
      <c r="L19" s="117">
        <v>0</v>
      </c>
    </row>
    <row r="20" spans="1:12" x14ac:dyDescent="0.2">
      <c r="G20" t="s">
        <v>144</v>
      </c>
      <c r="H20" t="s">
        <v>145</v>
      </c>
      <c r="I20" t="s">
        <v>128</v>
      </c>
      <c r="J20">
        <v>0</v>
      </c>
      <c r="K20">
        <v>0</v>
      </c>
      <c r="L20" s="117">
        <v>100000</v>
      </c>
    </row>
    <row r="21" spans="1:12" x14ac:dyDescent="0.2">
      <c r="A21">
        <v>13</v>
      </c>
      <c r="D21" t="s">
        <v>142</v>
      </c>
      <c r="E21" t="s">
        <v>114</v>
      </c>
      <c r="F21" t="s">
        <v>146</v>
      </c>
      <c r="G21" t="s">
        <v>144</v>
      </c>
      <c r="H21" t="s">
        <v>145</v>
      </c>
      <c r="I21" t="s">
        <v>117</v>
      </c>
      <c r="J21">
        <v>0</v>
      </c>
      <c r="K21">
        <v>0</v>
      </c>
      <c r="L21" s="117">
        <v>0</v>
      </c>
    </row>
    <row r="22" spans="1:12" x14ac:dyDescent="0.2">
      <c r="A22">
        <v>14</v>
      </c>
      <c r="D22" t="s">
        <v>142</v>
      </c>
      <c r="E22" t="s">
        <v>114</v>
      </c>
      <c r="F22" t="s">
        <v>147</v>
      </c>
      <c r="G22" t="s">
        <v>144</v>
      </c>
      <c r="H22" t="s">
        <v>145</v>
      </c>
      <c r="I22" t="s">
        <v>128</v>
      </c>
      <c r="J22">
        <v>0</v>
      </c>
      <c r="K22">
        <v>0</v>
      </c>
      <c r="L22" s="117">
        <v>0</v>
      </c>
    </row>
    <row r="23" spans="1:12" x14ac:dyDescent="0.2">
      <c r="A23">
        <v>15</v>
      </c>
      <c r="D23" t="s">
        <v>142</v>
      </c>
      <c r="E23" t="s">
        <v>114</v>
      </c>
      <c r="F23" t="s">
        <v>148</v>
      </c>
      <c r="G23" t="s">
        <v>144</v>
      </c>
      <c r="H23" t="s">
        <v>145</v>
      </c>
      <c r="I23" t="s">
        <v>128</v>
      </c>
      <c r="J23">
        <v>0</v>
      </c>
      <c r="K23">
        <v>0</v>
      </c>
      <c r="L23" s="117">
        <v>10000</v>
      </c>
    </row>
    <row r="24" spans="1:12" x14ac:dyDescent="0.2">
      <c r="A24">
        <v>16</v>
      </c>
      <c r="D24" t="s">
        <v>142</v>
      </c>
      <c r="E24" t="s">
        <v>114</v>
      </c>
      <c r="F24" t="s">
        <v>149</v>
      </c>
      <c r="G24" t="s">
        <v>144</v>
      </c>
      <c r="H24" t="s">
        <v>145</v>
      </c>
      <c r="I24" t="s">
        <v>150</v>
      </c>
      <c r="K24">
        <v>6</v>
      </c>
      <c r="L24" s="117">
        <v>10</v>
      </c>
    </row>
    <row r="25" spans="1:12" x14ac:dyDescent="0.2">
      <c r="A25">
        <v>17</v>
      </c>
      <c r="D25" t="s">
        <v>142</v>
      </c>
      <c r="E25" t="s">
        <v>114</v>
      </c>
      <c r="F25" t="s">
        <v>151</v>
      </c>
      <c r="G25" t="s">
        <v>144</v>
      </c>
      <c r="H25" t="s">
        <v>145</v>
      </c>
      <c r="I25" t="s">
        <v>152</v>
      </c>
      <c r="J25" s="116">
        <v>0.18</v>
      </c>
      <c r="K25" s="119">
        <v>0.05</v>
      </c>
      <c r="L25" s="116">
        <v>0.15</v>
      </c>
    </row>
    <row r="26" spans="1:12" x14ac:dyDescent="0.2">
      <c r="H26" t="s">
        <v>145</v>
      </c>
      <c r="I26" t="s">
        <v>153</v>
      </c>
      <c r="J26" s="116">
        <v>0.18</v>
      </c>
      <c r="K26" s="119">
        <v>0.05</v>
      </c>
      <c r="L26" s="116">
        <v>0.15</v>
      </c>
    </row>
    <row r="27" spans="1:12" x14ac:dyDescent="0.2">
      <c r="A27">
        <v>23</v>
      </c>
      <c r="D27" t="s">
        <v>154</v>
      </c>
      <c r="E27" t="s">
        <v>114</v>
      </c>
      <c r="F27" t="s">
        <v>155</v>
      </c>
      <c r="G27" t="s">
        <v>136</v>
      </c>
      <c r="H27" t="s">
        <v>120</v>
      </c>
      <c r="I27" t="s">
        <v>128</v>
      </c>
      <c r="J27">
        <v>0</v>
      </c>
      <c r="K27">
        <v>0</v>
      </c>
      <c r="L27">
        <v>0</v>
      </c>
    </row>
    <row r="28" spans="1:12" ht="25.5" x14ac:dyDescent="0.2">
      <c r="A28">
        <v>24</v>
      </c>
      <c r="D28" t="s">
        <v>154</v>
      </c>
      <c r="E28" t="s">
        <v>114</v>
      </c>
      <c r="F28" t="s">
        <v>156</v>
      </c>
      <c r="G28" s="120" t="s">
        <v>22</v>
      </c>
      <c r="H28" s="120" t="s">
        <v>22</v>
      </c>
      <c r="I28" t="s">
        <v>117</v>
      </c>
      <c r="J28">
        <v>0</v>
      </c>
      <c r="K28">
        <v>0</v>
      </c>
      <c r="L28">
        <v>2</v>
      </c>
    </row>
    <row r="29" spans="1:12" x14ac:dyDescent="0.2">
      <c r="G29" s="120"/>
      <c r="H29" s="120"/>
      <c r="I29" t="s">
        <v>128</v>
      </c>
      <c r="J29">
        <v>0</v>
      </c>
      <c r="L29" s="117">
        <v>50000</v>
      </c>
    </row>
    <row r="30" spans="1:12" x14ac:dyDescent="0.2">
      <c r="A30">
        <v>25</v>
      </c>
      <c r="D30" t="s">
        <v>154</v>
      </c>
      <c r="E30" t="s">
        <v>114</v>
      </c>
      <c r="F30" t="s">
        <v>157</v>
      </c>
      <c r="G30" t="s">
        <v>136</v>
      </c>
      <c r="H30" t="s">
        <v>120</v>
      </c>
      <c r="I30" t="s">
        <v>158</v>
      </c>
      <c r="J30">
        <v>0</v>
      </c>
      <c r="K30">
        <v>0</v>
      </c>
      <c r="L30">
        <v>1</v>
      </c>
    </row>
    <row r="31" spans="1:12" x14ac:dyDescent="0.2">
      <c r="I31" t="s">
        <v>128</v>
      </c>
      <c r="J31">
        <v>0</v>
      </c>
      <c r="K31">
        <v>0</v>
      </c>
      <c r="L31" s="117">
        <v>100000</v>
      </c>
    </row>
    <row r="32" spans="1:12" x14ac:dyDescent="0.2">
      <c r="A32">
        <v>26</v>
      </c>
      <c r="D32" t="s">
        <v>159</v>
      </c>
      <c r="E32" t="s">
        <v>114</v>
      </c>
      <c r="F32" t="s">
        <v>160</v>
      </c>
      <c r="G32" t="s">
        <v>161</v>
      </c>
      <c r="H32" t="s">
        <v>126</v>
      </c>
      <c r="I32" t="s">
        <v>162</v>
      </c>
      <c r="K32">
        <v>0</v>
      </c>
      <c r="L32">
        <v>1</v>
      </c>
    </row>
    <row r="33" spans="1:12" x14ac:dyDescent="0.2">
      <c r="A33">
        <v>27</v>
      </c>
      <c r="D33" t="s">
        <v>163</v>
      </c>
      <c r="E33" t="s">
        <v>114</v>
      </c>
      <c r="F33" t="s">
        <v>164</v>
      </c>
      <c r="G33" t="s">
        <v>130</v>
      </c>
      <c r="H33" t="s">
        <v>130</v>
      </c>
      <c r="I33" t="s">
        <v>165</v>
      </c>
      <c r="J33" t="s">
        <v>132</v>
      </c>
      <c r="K33" t="s">
        <v>133</v>
      </c>
      <c r="L33" t="s">
        <v>166</v>
      </c>
    </row>
    <row r="34" spans="1:12" x14ac:dyDescent="0.2">
      <c r="H34" t="s">
        <v>130</v>
      </c>
      <c r="I34" t="s">
        <v>128</v>
      </c>
      <c r="K34">
        <v>0</v>
      </c>
      <c r="L34" s="117">
        <v>5000000</v>
      </c>
    </row>
    <row r="35" spans="1:12" x14ac:dyDescent="0.2">
      <c r="F35" t="s">
        <v>167</v>
      </c>
      <c r="H35" t="s">
        <v>130</v>
      </c>
      <c r="I35" t="s">
        <v>168</v>
      </c>
      <c r="J35">
        <v>0</v>
      </c>
      <c r="K35">
        <v>0</v>
      </c>
      <c r="L35" s="117">
        <v>4</v>
      </c>
    </row>
    <row r="36" spans="1:12" x14ac:dyDescent="0.2">
      <c r="H36" t="s">
        <v>130</v>
      </c>
      <c r="I36" t="s">
        <v>169</v>
      </c>
      <c r="J36">
        <v>10</v>
      </c>
      <c r="K36">
        <v>0</v>
      </c>
      <c r="L36" s="117">
        <v>30</v>
      </c>
    </row>
    <row r="37" spans="1:12" x14ac:dyDescent="0.2">
      <c r="F37" t="s">
        <v>170</v>
      </c>
      <c r="H37" t="s">
        <v>130</v>
      </c>
      <c r="I37" t="s">
        <v>165</v>
      </c>
      <c r="J37" t="s">
        <v>132</v>
      </c>
      <c r="K37" t="s">
        <v>133</v>
      </c>
      <c r="L37" t="s">
        <v>166</v>
      </c>
    </row>
    <row r="38" spans="1:12" x14ac:dyDescent="0.2">
      <c r="H38" t="s">
        <v>130</v>
      </c>
      <c r="I38" t="s">
        <v>128</v>
      </c>
      <c r="K38">
        <v>0</v>
      </c>
      <c r="L38" s="117">
        <v>5000000</v>
      </c>
    </row>
    <row r="39" spans="1:12" x14ac:dyDescent="0.2">
      <c r="F39" t="s">
        <v>171</v>
      </c>
      <c r="H39" t="s">
        <v>130</v>
      </c>
      <c r="I39" t="s">
        <v>165</v>
      </c>
      <c r="J39" t="s">
        <v>132</v>
      </c>
      <c r="K39" t="s">
        <v>133</v>
      </c>
      <c r="L39" t="s">
        <v>166</v>
      </c>
    </row>
    <row r="40" spans="1:12" x14ac:dyDescent="0.2">
      <c r="H40" t="s">
        <v>130</v>
      </c>
      <c r="I40" t="s">
        <v>128</v>
      </c>
      <c r="K40">
        <v>0</v>
      </c>
      <c r="L40" s="117">
        <v>5000000</v>
      </c>
    </row>
    <row r="41" spans="1:12" x14ac:dyDescent="0.2">
      <c r="A41">
        <v>28</v>
      </c>
      <c r="D41" t="s">
        <v>172</v>
      </c>
      <c r="E41" t="s">
        <v>114</v>
      </c>
      <c r="F41" t="s">
        <v>173</v>
      </c>
      <c r="H41" t="s">
        <v>130</v>
      </c>
      <c r="I41" t="s">
        <v>117</v>
      </c>
      <c r="J41" s="117">
        <v>0</v>
      </c>
      <c r="K41" s="117">
        <v>0</v>
      </c>
      <c r="L41" s="117">
        <v>0</v>
      </c>
    </row>
    <row r="42" spans="1:12" x14ac:dyDescent="0.2">
      <c r="A42">
        <v>29</v>
      </c>
      <c r="D42" t="s">
        <v>172</v>
      </c>
      <c r="E42" t="s">
        <v>114</v>
      </c>
      <c r="F42" t="s">
        <v>174</v>
      </c>
      <c r="G42" t="s">
        <v>136</v>
      </c>
      <c r="H42" t="s">
        <v>136</v>
      </c>
      <c r="I42" t="s">
        <v>175</v>
      </c>
      <c r="J42" s="117"/>
      <c r="K42" s="117">
        <v>0</v>
      </c>
      <c r="L42" s="117">
        <v>50000</v>
      </c>
    </row>
    <row r="43" spans="1:12" x14ac:dyDescent="0.2">
      <c r="A43">
        <v>30</v>
      </c>
      <c r="D43" t="s">
        <v>172</v>
      </c>
      <c r="E43" t="s">
        <v>114</v>
      </c>
      <c r="F43" t="s">
        <v>176</v>
      </c>
      <c r="H43" t="s">
        <v>30</v>
      </c>
      <c r="I43" t="s">
        <v>117</v>
      </c>
      <c r="J43" s="117">
        <v>0</v>
      </c>
      <c r="K43" s="117">
        <v>0</v>
      </c>
      <c r="L43" s="117">
        <v>2</v>
      </c>
    </row>
    <row r="44" spans="1:12" x14ac:dyDescent="0.2">
      <c r="A44">
        <v>31</v>
      </c>
      <c r="D44" t="s">
        <v>172</v>
      </c>
      <c r="E44" t="s">
        <v>114</v>
      </c>
      <c r="F44" t="s">
        <v>177</v>
      </c>
      <c r="G44" t="s">
        <v>136</v>
      </c>
      <c r="H44" t="s">
        <v>120</v>
      </c>
      <c r="I44" t="s">
        <v>175</v>
      </c>
      <c r="J44" s="117"/>
      <c r="K44" s="117">
        <v>0</v>
      </c>
      <c r="L44" s="117">
        <v>50000</v>
      </c>
    </row>
    <row r="45" spans="1:12" x14ac:dyDescent="0.2">
      <c r="A45">
        <v>32</v>
      </c>
      <c r="D45" t="s">
        <v>178</v>
      </c>
      <c r="E45" t="s">
        <v>114</v>
      </c>
      <c r="F45" t="s">
        <v>111</v>
      </c>
      <c r="G45" t="s">
        <v>106</v>
      </c>
      <c r="H45" t="s">
        <v>30</v>
      </c>
      <c r="I45" t="s">
        <v>112</v>
      </c>
      <c r="J45" s="117">
        <v>31345829.681699876</v>
      </c>
      <c r="K45" s="117">
        <v>25000000</v>
      </c>
      <c r="L45" s="117">
        <v>40000000</v>
      </c>
    </row>
  </sheetData>
  <pageMargins left="0.7" right="0.7" top="0.75" bottom="0.75" header="0.3" footer="0.3"/>
  <pageSetup orientation="portrait" verticalDpi="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D540B-25E5-4926-9F83-8BB8F012D126}">
  <dimension ref="A1:O101"/>
  <sheetViews>
    <sheetView tabSelected="1" topLeftCell="D52" zoomScale="85" zoomScaleNormal="85" workbookViewId="0">
      <selection activeCell="G67" sqref="G67"/>
    </sheetView>
  </sheetViews>
  <sheetFormatPr defaultRowHeight="12.75" x14ac:dyDescent="0.2"/>
  <cols>
    <col min="2" max="2" width="25" bestFit="1" customWidth="1"/>
    <col min="3" max="3" width="11.42578125" customWidth="1"/>
    <col min="4" max="4" width="33.85546875" bestFit="1" customWidth="1"/>
    <col min="5" max="5" width="22.28515625" bestFit="1" customWidth="1"/>
    <col min="6" max="6" width="37.7109375" bestFit="1" customWidth="1"/>
    <col min="7" max="7" width="28.42578125" customWidth="1"/>
    <col min="8" max="8" width="33.28515625" customWidth="1"/>
    <col min="9" max="9" width="43.28515625" bestFit="1" customWidth="1"/>
    <col min="10" max="10" width="16.5703125" bestFit="1" customWidth="1"/>
    <col min="11" max="11" width="12.85546875" bestFit="1" customWidth="1"/>
    <col min="12" max="12" width="15" bestFit="1" customWidth="1"/>
    <col min="13" max="13" width="23.28515625" bestFit="1" customWidth="1"/>
    <col min="14" max="14" width="31" bestFit="1" customWidth="1"/>
  </cols>
  <sheetData>
    <row r="1" spans="1:15" x14ac:dyDescent="0.2">
      <c r="A1" s="125" t="s">
        <v>0</v>
      </c>
      <c r="B1" s="126" t="s">
        <v>1</v>
      </c>
      <c r="C1" s="126" t="s">
        <v>2</v>
      </c>
      <c r="D1" s="127" t="s">
        <v>3</v>
      </c>
      <c r="E1" s="128" t="s">
        <v>4</v>
      </c>
      <c r="F1" s="128" t="s">
        <v>5</v>
      </c>
      <c r="G1" s="123" t="s">
        <v>6</v>
      </c>
      <c r="H1" s="123" t="s">
        <v>7</v>
      </c>
      <c r="I1" s="123" t="s">
        <v>8</v>
      </c>
      <c r="J1" s="123" t="s">
        <v>9</v>
      </c>
      <c r="K1" s="123" t="s">
        <v>10</v>
      </c>
      <c r="L1" s="123" t="s">
        <v>11</v>
      </c>
      <c r="M1" s="123" t="s">
        <v>63</v>
      </c>
    </row>
    <row r="2" spans="1:15" x14ac:dyDescent="0.2">
      <c r="A2" s="131">
        <v>27</v>
      </c>
      <c r="B2" s="131"/>
      <c r="C2" s="131"/>
      <c r="D2" s="131" t="s">
        <v>163</v>
      </c>
      <c r="E2" s="131" t="s">
        <v>114</v>
      </c>
      <c r="F2" s="131" t="s">
        <v>164</v>
      </c>
      <c r="G2" s="131" t="s">
        <v>130</v>
      </c>
      <c r="H2" s="131" t="s">
        <v>130</v>
      </c>
      <c r="I2" s="131" t="s">
        <v>165</v>
      </c>
      <c r="J2" s="131" t="s">
        <v>132</v>
      </c>
      <c r="K2" s="131" t="s">
        <v>133</v>
      </c>
      <c r="L2" s="131" t="s">
        <v>166</v>
      </c>
      <c r="M2" s="147"/>
    </row>
    <row r="3" spans="1:15" x14ac:dyDescent="0.2">
      <c r="A3" s="130">
        <v>1</v>
      </c>
      <c r="B3" s="130"/>
      <c r="C3" s="130"/>
      <c r="D3" s="130" t="s">
        <v>113</v>
      </c>
      <c r="E3" s="130" t="s">
        <v>114</v>
      </c>
      <c r="F3" s="130" t="s">
        <v>115</v>
      </c>
      <c r="G3" s="130" t="s">
        <v>116</v>
      </c>
      <c r="H3" s="130" t="s">
        <v>116</v>
      </c>
      <c r="I3" s="130" t="s">
        <v>117</v>
      </c>
      <c r="J3" s="130">
        <v>0</v>
      </c>
      <c r="K3" s="130">
        <v>0</v>
      </c>
      <c r="L3" s="130">
        <v>3</v>
      </c>
      <c r="M3" s="147"/>
      <c r="N3" s="148" t="s">
        <v>179</v>
      </c>
      <c r="O3" s="150">
        <f>COUNTA(_xlfn.UNIQUE(H2:H84))</f>
        <v>13</v>
      </c>
    </row>
    <row r="4" spans="1:15" x14ac:dyDescent="0.2">
      <c r="A4" s="131">
        <v>4</v>
      </c>
      <c r="B4" s="131"/>
      <c r="C4" s="131"/>
      <c r="D4" s="131" t="s">
        <v>113</v>
      </c>
      <c r="E4" s="131" t="s">
        <v>114</v>
      </c>
      <c r="F4" s="131" t="s">
        <v>125</v>
      </c>
      <c r="G4" s="131" t="s">
        <v>116</v>
      </c>
      <c r="H4" s="131" t="s">
        <v>126</v>
      </c>
      <c r="I4" s="131" t="s">
        <v>117</v>
      </c>
      <c r="J4" s="131">
        <v>0</v>
      </c>
      <c r="K4" s="131">
        <v>0</v>
      </c>
      <c r="L4" s="135">
        <v>0</v>
      </c>
      <c r="M4" s="147"/>
    </row>
    <row r="5" spans="1:15" x14ac:dyDescent="0.2">
      <c r="A5" s="130">
        <v>26</v>
      </c>
      <c r="B5" s="130"/>
      <c r="C5" s="130"/>
      <c r="D5" s="130" t="s">
        <v>159</v>
      </c>
      <c r="E5" s="130" t="s">
        <v>114</v>
      </c>
      <c r="F5" s="130" t="s">
        <v>160</v>
      </c>
      <c r="G5" s="130" t="s">
        <v>161</v>
      </c>
      <c r="H5" s="130" t="s">
        <v>126</v>
      </c>
      <c r="I5" s="130" t="s">
        <v>162</v>
      </c>
      <c r="J5" s="130"/>
      <c r="K5" s="130">
        <v>0</v>
      </c>
      <c r="L5" s="130">
        <v>1</v>
      </c>
      <c r="M5" s="147"/>
      <c r="N5" t="str" cm="1">
        <f t="array" ref="N5:N17">_xlfn.UNIQUE(H2:H84)</f>
        <v>BCM</v>
      </c>
    </row>
    <row r="6" spans="1:15" x14ac:dyDescent="0.2">
      <c r="A6">
        <v>1</v>
      </c>
      <c r="B6" t="s">
        <v>64</v>
      </c>
      <c r="D6" t="s">
        <v>64</v>
      </c>
      <c r="E6" t="s">
        <v>64</v>
      </c>
      <c r="F6" t="s">
        <v>65</v>
      </c>
      <c r="G6" t="s">
        <v>66</v>
      </c>
      <c r="H6" t="s">
        <v>30</v>
      </c>
      <c r="I6" t="s">
        <v>67</v>
      </c>
      <c r="J6">
        <v>8</v>
      </c>
      <c r="K6">
        <v>3</v>
      </c>
      <c r="L6">
        <v>10</v>
      </c>
      <c r="M6" s="147"/>
      <c r="N6" t="str">
        <v>Facility manager</v>
      </c>
    </row>
    <row r="7" spans="1:15" x14ac:dyDescent="0.2">
      <c r="B7" t="s">
        <v>64</v>
      </c>
      <c r="D7" t="s">
        <v>64</v>
      </c>
      <c r="E7" t="s">
        <v>64</v>
      </c>
      <c r="F7" t="s">
        <v>65</v>
      </c>
      <c r="G7" t="s">
        <v>66</v>
      </c>
      <c r="H7" t="s">
        <v>30</v>
      </c>
      <c r="I7" t="s">
        <v>69</v>
      </c>
      <c r="J7">
        <v>156000000</v>
      </c>
      <c r="K7">
        <v>80000000</v>
      </c>
      <c r="L7">
        <v>200000000</v>
      </c>
      <c r="M7" s="147"/>
      <c r="N7" t="str">
        <v>Security manager</v>
      </c>
    </row>
    <row r="8" spans="1:15" x14ac:dyDescent="0.2">
      <c r="A8">
        <v>2</v>
      </c>
      <c r="B8" t="s">
        <v>64</v>
      </c>
      <c r="D8" t="s">
        <v>64</v>
      </c>
      <c r="E8" t="s">
        <v>64</v>
      </c>
      <c r="F8" t="s">
        <v>70</v>
      </c>
      <c r="G8" t="s">
        <v>66</v>
      </c>
      <c r="H8" t="s">
        <v>30</v>
      </c>
      <c r="I8" t="s">
        <v>71</v>
      </c>
      <c r="J8">
        <v>134816247</v>
      </c>
      <c r="K8">
        <v>100000000</v>
      </c>
      <c r="L8">
        <v>9000000000</v>
      </c>
      <c r="M8" s="147"/>
      <c r="N8" t="str">
        <v>MŘR</v>
      </c>
    </row>
    <row r="9" spans="1:15" x14ac:dyDescent="0.2">
      <c r="B9" t="s">
        <v>64</v>
      </c>
      <c r="D9" t="s">
        <v>64</v>
      </c>
      <c r="E9" t="s">
        <v>64</v>
      </c>
      <c r="F9" t="s">
        <v>70</v>
      </c>
      <c r="G9" t="s">
        <v>66</v>
      </c>
      <c r="H9" t="s">
        <v>30</v>
      </c>
      <c r="I9" t="s">
        <v>72</v>
      </c>
      <c r="J9">
        <v>0</v>
      </c>
      <c r="K9">
        <v>0</v>
      </c>
      <c r="L9">
        <v>9000000000</v>
      </c>
      <c r="M9" s="147"/>
      <c r="N9" t="str">
        <v>HR</v>
      </c>
    </row>
    <row r="10" spans="1:15" x14ac:dyDescent="0.2">
      <c r="B10" t="s">
        <v>64</v>
      </c>
      <c r="D10" t="s">
        <v>64</v>
      </c>
      <c r="E10" t="s">
        <v>64</v>
      </c>
      <c r="F10" t="s">
        <v>70</v>
      </c>
      <c r="G10" t="s">
        <v>66</v>
      </c>
      <c r="H10" t="s">
        <v>30</v>
      </c>
      <c r="I10" t="s">
        <v>73</v>
      </c>
      <c r="J10">
        <v>563966135</v>
      </c>
      <c r="K10">
        <v>400000000</v>
      </c>
      <c r="L10">
        <v>700000000</v>
      </c>
      <c r="M10" s="147"/>
      <c r="N10" t="str">
        <v>Bezpěčnostný manažer</v>
      </c>
    </row>
    <row r="11" spans="1:15" x14ac:dyDescent="0.2">
      <c r="B11" t="s">
        <v>64</v>
      </c>
      <c r="D11" t="s">
        <v>64</v>
      </c>
      <c r="E11" t="s">
        <v>64</v>
      </c>
      <c r="F11" t="s">
        <v>70</v>
      </c>
      <c r="G11" t="s">
        <v>66</v>
      </c>
      <c r="H11" t="s">
        <v>30</v>
      </c>
      <c r="I11" t="s">
        <v>74</v>
      </c>
      <c r="J11">
        <v>3605</v>
      </c>
      <c r="K11">
        <v>0</v>
      </c>
      <c r="L11">
        <v>300000000</v>
      </c>
      <c r="M11" s="147"/>
      <c r="N11" t="str">
        <v>Obchodní ředitel</v>
      </c>
    </row>
    <row r="12" spans="1:15" x14ac:dyDescent="0.2">
      <c r="B12" t="s">
        <v>64</v>
      </c>
      <c r="D12" t="s">
        <v>64</v>
      </c>
      <c r="E12" t="s">
        <v>64</v>
      </c>
      <c r="F12" t="s">
        <v>70</v>
      </c>
      <c r="G12" t="s">
        <v>66</v>
      </c>
      <c r="H12" t="s">
        <v>30</v>
      </c>
      <c r="I12" t="s">
        <v>75</v>
      </c>
      <c r="K12">
        <v>0</v>
      </c>
      <c r="L12">
        <v>0</v>
      </c>
      <c r="M12" s="147"/>
      <c r="N12" t="str">
        <v>Compliance officer</v>
      </c>
    </row>
    <row r="13" spans="1:15" x14ac:dyDescent="0.2">
      <c r="B13" t="s">
        <v>64</v>
      </c>
      <c r="D13" t="s">
        <v>64</v>
      </c>
      <c r="E13" t="s">
        <v>64</v>
      </c>
      <c r="F13" t="s">
        <v>70</v>
      </c>
      <c r="G13" t="s">
        <v>66</v>
      </c>
      <c r="H13" t="s">
        <v>30</v>
      </c>
      <c r="I13" t="s">
        <v>76</v>
      </c>
      <c r="K13">
        <v>0</v>
      </c>
      <c r="L13">
        <v>0</v>
      </c>
      <c r="M13" s="147"/>
      <c r="N13" t="str">
        <v>Ředitel LPU</v>
      </c>
    </row>
    <row r="14" spans="1:15" x14ac:dyDescent="0.2">
      <c r="B14" t="s">
        <v>64</v>
      </c>
      <c r="D14" t="s">
        <v>64</v>
      </c>
      <c r="E14" t="s">
        <v>64</v>
      </c>
      <c r="F14" t="s">
        <v>70</v>
      </c>
      <c r="G14" t="s">
        <v>66</v>
      </c>
      <c r="H14" t="s">
        <v>30</v>
      </c>
      <c r="I14" t="s">
        <v>77</v>
      </c>
      <c r="J14">
        <v>17161134</v>
      </c>
      <c r="K14">
        <v>0</v>
      </c>
      <c r="L14">
        <v>150000000</v>
      </c>
      <c r="M14" s="147"/>
      <c r="N14" t="str">
        <v>Ředitel úseku flotil
a vývoje produktu</v>
      </c>
    </row>
    <row r="15" spans="1:15" x14ac:dyDescent="0.2">
      <c r="A15">
        <v>3</v>
      </c>
      <c r="B15" t="s">
        <v>64</v>
      </c>
      <c r="D15" t="s">
        <v>64</v>
      </c>
      <c r="E15" t="s">
        <v>64</v>
      </c>
      <c r="F15" t="s">
        <v>78</v>
      </c>
      <c r="G15" t="s">
        <v>66</v>
      </c>
      <c r="H15" t="s">
        <v>30</v>
      </c>
      <c r="I15" t="s">
        <v>79</v>
      </c>
      <c r="J15">
        <v>0</v>
      </c>
      <c r="K15">
        <v>0</v>
      </c>
      <c r="L15">
        <v>0.05</v>
      </c>
      <c r="M15" s="147"/>
      <c r="N15" t="str">
        <v>Ředitel UW</v>
      </c>
    </row>
    <row r="16" spans="1:15" x14ac:dyDescent="0.2">
      <c r="B16" t="s">
        <v>64</v>
      </c>
      <c r="D16" t="s">
        <v>64</v>
      </c>
      <c r="E16" t="s">
        <v>64</v>
      </c>
      <c r="F16" t="s">
        <v>78</v>
      </c>
      <c r="G16" t="s">
        <v>66</v>
      </c>
      <c r="H16" t="s">
        <v>30</v>
      </c>
      <c r="I16" t="s">
        <v>80</v>
      </c>
      <c r="J16">
        <v>0</v>
      </c>
      <c r="K16">
        <v>0</v>
      </c>
      <c r="L16">
        <v>0.05</v>
      </c>
      <c r="M16" s="147"/>
      <c r="N16" t="str">
        <v>Ředitelka Klientského centra</v>
      </c>
    </row>
    <row r="17" spans="1:14" x14ac:dyDescent="0.2">
      <c r="A17">
        <v>4</v>
      </c>
      <c r="B17" t="s">
        <v>64</v>
      </c>
      <c r="D17" t="s">
        <v>64</v>
      </c>
      <c r="E17" t="s">
        <v>64</v>
      </c>
      <c r="F17" t="s">
        <v>81</v>
      </c>
      <c r="G17" t="s">
        <v>66</v>
      </c>
      <c r="H17" t="s">
        <v>30</v>
      </c>
      <c r="I17" t="s">
        <v>82</v>
      </c>
      <c r="J17">
        <v>11.5</v>
      </c>
      <c r="K17">
        <v>0</v>
      </c>
      <c r="L17">
        <v>5</v>
      </c>
      <c r="M17" s="147"/>
      <c r="N17" t="str">
        <v>Vlastník Procesu, manažer úseku</v>
      </c>
    </row>
    <row r="18" spans="1:14" x14ac:dyDescent="0.2">
      <c r="B18" t="s">
        <v>64</v>
      </c>
      <c r="D18" t="s">
        <v>64</v>
      </c>
      <c r="E18" t="s">
        <v>64</v>
      </c>
      <c r="F18" t="s">
        <v>81</v>
      </c>
      <c r="G18" t="s">
        <v>66</v>
      </c>
      <c r="H18" t="s">
        <v>30</v>
      </c>
      <c r="I18" t="s">
        <v>83</v>
      </c>
      <c r="J18">
        <v>2</v>
      </c>
      <c r="K18">
        <v>0</v>
      </c>
      <c r="L18">
        <v>5</v>
      </c>
      <c r="M18" s="147"/>
    </row>
    <row r="19" spans="1:14" x14ac:dyDescent="0.2">
      <c r="A19">
        <v>5</v>
      </c>
      <c r="B19" t="s">
        <v>64</v>
      </c>
      <c r="D19" t="s">
        <v>64</v>
      </c>
      <c r="E19" t="s">
        <v>64</v>
      </c>
      <c r="F19" t="s">
        <v>84</v>
      </c>
      <c r="G19" t="s">
        <v>66</v>
      </c>
      <c r="H19" t="s">
        <v>30</v>
      </c>
      <c r="I19" t="s">
        <v>85</v>
      </c>
      <c r="J19">
        <v>123000000</v>
      </c>
      <c r="K19">
        <v>0</v>
      </c>
      <c r="L19">
        <v>150000000</v>
      </c>
      <c r="M19" s="147"/>
    </row>
    <row r="20" spans="1:14" x14ac:dyDescent="0.2">
      <c r="B20" t="s">
        <v>64</v>
      </c>
      <c r="D20" t="s">
        <v>64</v>
      </c>
      <c r="E20" t="s">
        <v>64</v>
      </c>
      <c r="F20" t="s">
        <v>84</v>
      </c>
      <c r="G20" t="s">
        <v>66</v>
      </c>
      <c r="H20" t="s">
        <v>30</v>
      </c>
      <c r="I20" t="s">
        <v>86</v>
      </c>
      <c r="J20">
        <v>17161134</v>
      </c>
      <c r="K20">
        <v>0</v>
      </c>
      <c r="L20">
        <v>20000000</v>
      </c>
      <c r="M20" s="147"/>
    </row>
    <row r="21" spans="1:14" x14ac:dyDescent="0.2">
      <c r="B21" t="s">
        <v>64</v>
      </c>
      <c r="D21" t="s">
        <v>64</v>
      </c>
      <c r="E21" t="s">
        <v>64</v>
      </c>
      <c r="F21" t="s">
        <v>84</v>
      </c>
      <c r="G21" t="s">
        <v>66</v>
      </c>
      <c r="H21" t="s">
        <v>30</v>
      </c>
      <c r="I21" t="s">
        <v>87</v>
      </c>
      <c r="J21">
        <v>0</v>
      </c>
      <c r="K21">
        <v>0</v>
      </c>
      <c r="L21">
        <v>15000000</v>
      </c>
      <c r="M21" s="147"/>
    </row>
    <row r="22" spans="1:14" x14ac:dyDescent="0.2">
      <c r="A22">
        <v>5</v>
      </c>
      <c r="B22" t="s">
        <v>64</v>
      </c>
      <c r="D22" t="s">
        <v>64</v>
      </c>
      <c r="E22" t="s">
        <v>64</v>
      </c>
      <c r="F22" t="s">
        <v>84</v>
      </c>
      <c r="G22" t="s">
        <v>66</v>
      </c>
      <c r="H22" t="s">
        <v>30</v>
      </c>
      <c r="I22" t="s">
        <v>88</v>
      </c>
      <c r="J22">
        <v>262440455</v>
      </c>
      <c r="K22">
        <v>250000000</v>
      </c>
      <c r="L22">
        <v>450000000</v>
      </c>
      <c r="M22" s="147"/>
    </row>
    <row r="23" spans="1:14" x14ac:dyDescent="0.2">
      <c r="B23" t="s">
        <v>64</v>
      </c>
      <c r="D23" t="s">
        <v>64</v>
      </c>
      <c r="E23" t="s">
        <v>64</v>
      </c>
      <c r="F23" t="s">
        <v>84</v>
      </c>
      <c r="G23" t="s">
        <v>66</v>
      </c>
      <c r="H23" t="s">
        <v>30</v>
      </c>
      <c r="I23" t="s">
        <v>89</v>
      </c>
      <c r="J23">
        <v>0</v>
      </c>
      <c r="K23">
        <v>0</v>
      </c>
      <c r="L23">
        <v>60000000</v>
      </c>
      <c r="M23" s="147"/>
    </row>
    <row r="24" spans="1:14" x14ac:dyDescent="0.2">
      <c r="B24" t="s">
        <v>64</v>
      </c>
      <c r="D24" t="s">
        <v>64</v>
      </c>
      <c r="E24" t="s">
        <v>64</v>
      </c>
      <c r="F24" t="s">
        <v>84</v>
      </c>
      <c r="G24" t="s">
        <v>66</v>
      </c>
      <c r="H24" t="s">
        <v>30</v>
      </c>
      <c r="I24" t="s">
        <v>90</v>
      </c>
      <c r="J24">
        <v>17161134</v>
      </c>
      <c r="K24">
        <v>0</v>
      </c>
      <c r="L24">
        <v>100000000</v>
      </c>
      <c r="M24" s="147"/>
    </row>
    <row r="25" spans="1:14" x14ac:dyDescent="0.2">
      <c r="B25" t="s">
        <v>64</v>
      </c>
      <c r="D25" t="s">
        <v>64</v>
      </c>
      <c r="E25" t="s">
        <v>64</v>
      </c>
      <c r="F25" t="s">
        <v>84</v>
      </c>
      <c r="G25" t="s">
        <v>66</v>
      </c>
      <c r="H25" t="s">
        <v>30</v>
      </c>
      <c r="I25" t="s">
        <v>91</v>
      </c>
      <c r="J25">
        <v>134816247</v>
      </c>
      <c r="K25">
        <v>100000000</v>
      </c>
      <c r="L25">
        <v>160000000</v>
      </c>
      <c r="M25" s="147"/>
    </row>
    <row r="26" spans="1:14" x14ac:dyDescent="0.2">
      <c r="B26" t="s">
        <v>64</v>
      </c>
      <c r="D26" t="s">
        <v>64</v>
      </c>
      <c r="E26" t="s">
        <v>64</v>
      </c>
      <c r="F26" t="s">
        <v>84</v>
      </c>
      <c r="G26" t="s">
        <v>66</v>
      </c>
      <c r="H26" t="s">
        <v>30</v>
      </c>
      <c r="I26" t="s">
        <v>92</v>
      </c>
      <c r="J26">
        <v>563966135</v>
      </c>
      <c r="K26">
        <v>400000000</v>
      </c>
      <c r="L26">
        <v>9000000000</v>
      </c>
      <c r="M26" s="147"/>
    </row>
    <row r="27" spans="1:14" x14ac:dyDescent="0.2">
      <c r="A27">
        <v>5</v>
      </c>
      <c r="B27" t="s">
        <v>64</v>
      </c>
      <c r="D27" t="s">
        <v>64</v>
      </c>
      <c r="E27" t="s">
        <v>64</v>
      </c>
      <c r="F27" t="s">
        <v>93</v>
      </c>
      <c r="G27" t="s">
        <v>66</v>
      </c>
      <c r="H27" t="s">
        <v>30</v>
      </c>
      <c r="I27" t="s">
        <v>94</v>
      </c>
      <c r="J27">
        <v>0</v>
      </c>
      <c r="K27">
        <v>0</v>
      </c>
      <c r="L27">
        <v>50000000</v>
      </c>
      <c r="M27" s="147"/>
    </row>
    <row r="28" spans="1:14" x14ac:dyDescent="0.2">
      <c r="B28" t="s">
        <v>64</v>
      </c>
      <c r="D28" t="s">
        <v>64</v>
      </c>
      <c r="E28" t="s">
        <v>64</v>
      </c>
      <c r="F28" t="s">
        <v>93</v>
      </c>
      <c r="G28" t="s">
        <v>66</v>
      </c>
      <c r="H28" t="s">
        <v>30</v>
      </c>
      <c r="I28" t="s">
        <v>95</v>
      </c>
      <c r="J28">
        <v>35348305</v>
      </c>
      <c r="K28">
        <v>30000000</v>
      </c>
      <c r="L28">
        <v>40000000</v>
      </c>
      <c r="M28" s="147"/>
    </row>
    <row r="29" spans="1:14" x14ac:dyDescent="0.2">
      <c r="B29" t="s">
        <v>64</v>
      </c>
      <c r="D29" t="s">
        <v>64</v>
      </c>
      <c r="E29" t="s">
        <v>64</v>
      </c>
      <c r="F29" t="s">
        <v>93</v>
      </c>
      <c r="G29" t="s">
        <v>66</v>
      </c>
      <c r="H29" t="s">
        <v>30</v>
      </c>
      <c r="I29" t="s">
        <v>96</v>
      </c>
      <c r="J29">
        <v>12235159</v>
      </c>
      <c r="K29">
        <v>5000000</v>
      </c>
      <c r="L29">
        <v>20000000</v>
      </c>
      <c r="M29" s="147"/>
    </row>
    <row r="30" spans="1:14" x14ac:dyDescent="0.2">
      <c r="B30" t="s">
        <v>64</v>
      </c>
      <c r="D30" t="s">
        <v>64</v>
      </c>
      <c r="E30" t="s">
        <v>64</v>
      </c>
      <c r="F30" t="s">
        <v>93</v>
      </c>
      <c r="G30" t="s">
        <v>66</v>
      </c>
      <c r="H30" t="s">
        <v>30</v>
      </c>
      <c r="I30" t="s">
        <v>97</v>
      </c>
      <c r="J30">
        <v>67608740</v>
      </c>
      <c r="K30">
        <v>10000000</v>
      </c>
      <c r="L30">
        <v>90000000</v>
      </c>
      <c r="M30" s="147"/>
    </row>
    <row r="31" spans="1:14" x14ac:dyDescent="0.2">
      <c r="B31" t="s">
        <v>64</v>
      </c>
      <c r="D31" t="s">
        <v>64</v>
      </c>
      <c r="E31" t="s">
        <v>64</v>
      </c>
      <c r="F31" t="s">
        <v>93</v>
      </c>
      <c r="G31" t="s">
        <v>66</v>
      </c>
      <c r="H31" t="s">
        <v>30</v>
      </c>
      <c r="I31" t="s">
        <v>98</v>
      </c>
      <c r="J31">
        <v>367377</v>
      </c>
      <c r="K31">
        <v>0</v>
      </c>
      <c r="L31">
        <v>10000000</v>
      </c>
      <c r="M31" s="147"/>
    </row>
    <row r="32" spans="1:14" x14ac:dyDescent="0.2">
      <c r="B32" t="s">
        <v>64</v>
      </c>
      <c r="D32" t="s">
        <v>64</v>
      </c>
      <c r="E32" t="s">
        <v>64</v>
      </c>
      <c r="F32" t="s">
        <v>93</v>
      </c>
      <c r="G32" t="s">
        <v>66</v>
      </c>
      <c r="H32" t="s">
        <v>30</v>
      </c>
      <c r="I32" t="s">
        <v>99</v>
      </c>
      <c r="J32">
        <v>3712313</v>
      </c>
      <c r="K32">
        <v>0</v>
      </c>
      <c r="L32">
        <v>10000000</v>
      </c>
      <c r="M32" s="147"/>
    </row>
    <row r="33" spans="1:13" x14ac:dyDescent="0.2">
      <c r="A33">
        <v>2</v>
      </c>
      <c r="B33" t="s">
        <v>100</v>
      </c>
      <c r="D33" t="s">
        <v>100</v>
      </c>
      <c r="E33" t="s">
        <v>100</v>
      </c>
      <c r="F33" t="s">
        <v>105</v>
      </c>
      <c r="G33" t="s">
        <v>106</v>
      </c>
      <c r="H33" t="s">
        <v>30</v>
      </c>
      <c r="I33" t="s">
        <v>107</v>
      </c>
      <c r="J33" s="117">
        <v>15000000000</v>
      </c>
      <c r="K33" s="117">
        <v>0</v>
      </c>
      <c r="L33" s="117">
        <v>15000000000</v>
      </c>
      <c r="M33" s="147"/>
    </row>
    <row r="34" spans="1:13" x14ac:dyDescent="0.2">
      <c r="D34" t="s">
        <v>100</v>
      </c>
      <c r="E34" t="s">
        <v>100</v>
      </c>
      <c r="F34" t="s">
        <v>105</v>
      </c>
      <c r="G34" t="s">
        <v>106</v>
      </c>
      <c r="H34" t="s">
        <v>30</v>
      </c>
      <c r="I34" t="s">
        <v>108</v>
      </c>
      <c r="J34" s="117">
        <v>103093832</v>
      </c>
      <c r="K34" s="117">
        <v>0</v>
      </c>
      <c r="L34" s="117">
        <v>150000000</v>
      </c>
      <c r="M34" s="147"/>
    </row>
    <row r="35" spans="1:13" x14ac:dyDescent="0.2">
      <c r="A35">
        <v>3</v>
      </c>
      <c r="B35" t="s">
        <v>100</v>
      </c>
      <c r="D35" t="s">
        <v>100</v>
      </c>
      <c r="E35" t="s">
        <v>100</v>
      </c>
      <c r="F35" t="s">
        <v>109</v>
      </c>
      <c r="G35" t="s">
        <v>106</v>
      </c>
      <c r="H35" t="s">
        <v>30</v>
      </c>
      <c r="I35" t="s">
        <v>110</v>
      </c>
      <c r="J35" s="117">
        <v>49927561.710000001</v>
      </c>
      <c r="K35" s="117">
        <v>0</v>
      </c>
      <c r="L35" s="117">
        <v>70000000</v>
      </c>
      <c r="M35" s="147"/>
    </row>
    <row r="36" spans="1:13" x14ac:dyDescent="0.2">
      <c r="A36">
        <v>4</v>
      </c>
      <c r="B36" t="s">
        <v>100</v>
      </c>
      <c r="D36" t="s">
        <v>100</v>
      </c>
      <c r="E36" t="s">
        <v>100</v>
      </c>
      <c r="F36" t="s">
        <v>111</v>
      </c>
      <c r="G36" t="s">
        <v>106</v>
      </c>
      <c r="H36" t="s">
        <v>30</v>
      </c>
      <c r="I36" t="s">
        <v>112</v>
      </c>
      <c r="J36" s="117">
        <v>56412294.561991423</v>
      </c>
      <c r="K36" s="117">
        <v>40000000</v>
      </c>
      <c r="L36" s="117">
        <v>70000000</v>
      </c>
      <c r="M36" s="147"/>
    </row>
    <row r="37" spans="1:13" x14ac:dyDescent="0.2">
      <c r="A37" s="131">
        <v>32</v>
      </c>
      <c r="B37" s="131"/>
      <c r="C37" s="131"/>
      <c r="D37" s="131" t="s">
        <v>178</v>
      </c>
      <c r="E37" s="131" t="s">
        <v>114</v>
      </c>
      <c r="F37" s="131" t="s">
        <v>111</v>
      </c>
      <c r="G37" s="131" t="s">
        <v>106</v>
      </c>
      <c r="H37" s="131" t="s">
        <v>30</v>
      </c>
      <c r="I37" s="131" t="s">
        <v>112</v>
      </c>
      <c r="J37" s="141">
        <v>31345829.681699876</v>
      </c>
      <c r="K37" s="141">
        <v>25000000</v>
      </c>
      <c r="L37" s="141">
        <v>40000000</v>
      </c>
      <c r="M37" s="147"/>
    </row>
    <row r="38" spans="1:13" x14ac:dyDescent="0.2">
      <c r="A38">
        <v>10</v>
      </c>
      <c r="B38" t="s">
        <v>24</v>
      </c>
      <c r="C38" t="s">
        <v>13</v>
      </c>
      <c r="D38" t="s">
        <v>14</v>
      </c>
      <c r="E38" t="s">
        <v>15</v>
      </c>
      <c r="F38" t="s">
        <v>49</v>
      </c>
      <c r="G38" t="s">
        <v>50</v>
      </c>
      <c r="H38" t="s">
        <v>30</v>
      </c>
      <c r="I38" t="s">
        <v>51</v>
      </c>
      <c r="J38">
        <v>158228330.23981619</v>
      </c>
      <c r="K38">
        <v>140000000</v>
      </c>
      <c r="L38">
        <v>180000000</v>
      </c>
      <c r="M38" s="147"/>
    </row>
    <row r="39" spans="1:13" x14ac:dyDescent="0.2">
      <c r="A39">
        <v>6</v>
      </c>
      <c r="B39" t="s">
        <v>24</v>
      </c>
      <c r="C39" t="s">
        <v>13</v>
      </c>
      <c r="D39" t="s">
        <v>14</v>
      </c>
      <c r="E39" t="s">
        <v>52</v>
      </c>
      <c r="F39" t="s">
        <v>49</v>
      </c>
      <c r="G39" t="s">
        <v>50</v>
      </c>
      <c r="H39" t="s">
        <v>30</v>
      </c>
      <c r="I39" t="s">
        <v>51</v>
      </c>
      <c r="J39">
        <v>38000000</v>
      </c>
      <c r="K39">
        <v>30000000</v>
      </c>
      <c r="L39">
        <v>50000000</v>
      </c>
      <c r="M39" s="147"/>
    </row>
    <row r="40" spans="1:13" x14ac:dyDescent="0.2">
      <c r="A40" s="131">
        <v>12</v>
      </c>
      <c r="B40" s="131"/>
      <c r="C40" s="131"/>
      <c r="D40" s="131" t="s">
        <v>142</v>
      </c>
      <c r="E40" s="131" t="s">
        <v>114</v>
      </c>
      <c r="F40" s="131" t="s">
        <v>143</v>
      </c>
      <c r="G40" s="131" t="s">
        <v>144</v>
      </c>
      <c r="H40" s="131" t="s">
        <v>145</v>
      </c>
      <c r="I40" s="131" t="s">
        <v>117</v>
      </c>
      <c r="J40" s="131">
        <v>0</v>
      </c>
      <c r="K40" s="131">
        <v>0</v>
      </c>
      <c r="L40" s="135">
        <v>0</v>
      </c>
      <c r="M40" s="147"/>
    </row>
    <row r="41" spans="1:13" x14ac:dyDescent="0.2">
      <c r="A41" s="130"/>
      <c r="B41" s="130"/>
      <c r="C41" s="130"/>
      <c r="D41" s="130"/>
      <c r="E41" s="130" t="s">
        <v>114</v>
      </c>
      <c r="F41" s="130"/>
      <c r="G41" s="130" t="s">
        <v>144</v>
      </c>
      <c r="H41" s="130" t="s">
        <v>145</v>
      </c>
      <c r="I41" s="130" t="s">
        <v>128</v>
      </c>
      <c r="J41" s="130">
        <v>0</v>
      </c>
      <c r="K41" s="130">
        <v>0</v>
      </c>
      <c r="L41" s="136">
        <v>100000</v>
      </c>
      <c r="M41" s="147"/>
    </row>
    <row r="42" spans="1:13" x14ac:dyDescent="0.2">
      <c r="A42" s="131">
        <v>13</v>
      </c>
      <c r="B42" s="131"/>
      <c r="C42" s="131"/>
      <c r="D42" s="131" t="s">
        <v>142</v>
      </c>
      <c r="E42" s="131" t="s">
        <v>114</v>
      </c>
      <c r="F42" s="131" t="s">
        <v>146</v>
      </c>
      <c r="G42" s="131" t="s">
        <v>144</v>
      </c>
      <c r="H42" s="131" t="s">
        <v>145</v>
      </c>
      <c r="I42" s="131" t="s">
        <v>117</v>
      </c>
      <c r="J42" s="131">
        <v>0</v>
      </c>
      <c r="K42" s="131">
        <v>0</v>
      </c>
      <c r="L42" s="135">
        <v>0</v>
      </c>
      <c r="M42" s="147"/>
    </row>
    <row r="43" spans="1:13" x14ac:dyDescent="0.2">
      <c r="A43" s="130">
        <v>14</v>
      </c>
      <c r="B43" s="130"/>
      <c r="C43" s="130"/>
      <c r="D43" s="130" t="s">
        <v>142</v>
      </c>
      <c r="E43" s="130" t="s">
        <v>114</v>
      </c>
      <c r="F43" s="130" t="s">
        <v>147</v>
      </c>
      <c r="G43" s="130" t="s">
        <v>144</v>
      </c>
      <c r="H43" s="130" t="s">
        <v>145</v>
      </c>
      <c r="I43" s="130" t="s">
        <v>128</v>
      </c>
      <c r="J43" s="130">
        <v>0</v>
      </c>
      <c r="K43" s="130">
        <v>0</v>
      </c>
      <c r="L43" s="136">
        <v>0</v>
      </c>
      <c r="M43" s="147"/>
    </row>
    <row r="44" spans="1:13" x14ac:dyDescent="0.2">
      <c r="A44" s="131">
        <v>15</v>
      </c>
      <c r="B44" s="131"/>
      <c r="C44" s="131"/>
      <c r="D44" s="131" t="s">
        <v>142</v>
      </c>
      <c r="E44" s="131" t="s">
        <v>114</v>
      </c>
      <c r="F44" s="131" t="s">
        <v>148</v>
      </c>
      <c r="G44" s="131" t="s">
        <v>144</v>
      </c>
      <c r="H44" s="131" t="s">
        <v>145</v>
      </c>
      <c r="I44" s="131" t="s">
        <v>128</v>
      </c>
      <c r="J44" s="131">
        <v>0</v>
      </c>
      <c r="K44" s="131">
        <v>0</v>
      </c>
      <c r="L44" s="135">
        <v>10000</v>
      </c>
      <c r="M44" s="147"/>
    </row>
    <row r="45" spans="1:13" x14ac:dyDescent="0.2">
      <c r="A45" s="130">
        <v>16</v>
      </c>
      <c r="B45" s="130"/>
      <c r="C45" s="130"/>
      <c r="D45" s="130" t="s">
        <v>142</v>
      </c>
      <c r="E45" s="130" t="s">
        <v>114</v>
      </c>
      <c r="F45" s="130" t="s">
        <v>149</v>
      </c>
      <c r="G45" s="130" t="s">
        <v>144</v>
      </c>
      <c r="H45" s="130" t="s">
        <v>145</v>
      </c>
      <c r="I45" s="130" t="s">
        <v>150</v>
      </c>
      <c r="J45" s="130"/>
      <c r="K45" s="130">
        <v>6</v>
      </c>
      <c r="L45" s="136">
        <v>10</v>
      </c>
      <c r="M45" s="147"/>
    </row>
    <row r="46" spans="1:13" x14ac:dyDescent="0.2">
      <c r="A46" s="131">
        <v>17</v>
      </c>
      <c r="B46" s="131"/>
      <c r="C46" s="131"/>
      <c r="D46" s="131" t="s">
        <v>142</v>
      </c>
      <c r="E46" s="131" t="s">
        <v>114</v>
      </c>
      <c r="F46" s="131" t="s">
        <v>151</v>
      </c>
      <c r="G46" s="131" t="s">
        <v>144</v>
      </c>
      <c r="H46" s="131" t="s">
        <v>145</v>
      </c>
      <c r="I46" s="131" t="s">
        <v>152</v>
      </c>
      <c r="J46" s="134">
        <v>0.18</v>
      </c>
      <c r="K46" s="139">
        <v>0.05</v>
      </c>
      <c r="L46" s="134">
        <v>0.15</v>
      </c>
      <c r="M46" s="147"/>
    </row>
    <row r="47" spans="1:13" x14ac:dyDescent="0.2">
      <c r="A47" s="130">
        <v>3</v>
      </c>
      <c r="B47" s="130"/>
      <c r="C47" s="130"/>
      <c r="D47" s="130" t="s">
        <v>113</v>
      </c>
      <c r="E47" s="130" t="s">
        <v>114</v>
      </c>
      <c r="F47" s="130" t="s">
        <v>122</v>
      </c>
      <c r="G47" s="130" t="s">
        <v>123</v>
      </c>
      <c r="H47" s="130" t="s">
        <v>124</v>
      </c>
      <c r="I47" s="130" t="s">
        <v>117</v>
      </c>
      <c r="J47" s="130">
        <v>0</v>
      </c>
      <c r="K47" s="130">
        <v>0</v>
      </c>
      <c r="L47" s="136">
        <v>0</v>
      </c>
      <c r="M47" s="147"/>
    </row>
    <row r="48" spans="1:13" x14ac:dyDescent="0.2">
      <c r="A48" s="130">
        <v>5</v>
      </c>
      <c r="B48" s="130"/>
      <c r="C48" s="130"/>
      <c r="D48" s="130" t="s">
        <v>113</v>
      </c>
      <c r="E48" s="130" t="s">
        <v>114</v>
      </c>
      <c r="F48" s="130" t="s">
        <v>127</v>
      </c>
      <c r="G48" s="130" t="s">
        <v>123</v>
      </c>
      <c r="H48" s="130" t="s">
        <v>126</v>
      </c>
      <c r="I48" s="130" t="s">
        <v>117</v>
      </c>
      <c r="J48" s="130">
        <v>0</v>
      </c>
      <c r="K48" s="130">
        <v>0</v>
      </c>
      <c r="L48" s="136">
        <v>2</v>
      </c>
      <c r="M48" s="147"/>
    </row>
    <row r="49" spans="1:13" x14ac:dyDescent="0.2">
      <c r="A49" s="130">
        <v>6</v>
      </c>
      <c r="B49" s="130"/>
      <c r="C49" s="130"/>
      <c r="D49" s="130" t="s">
        <v>113</v>
      </c>
      <c r="E49" s="130" t="s">
        <v>114</v>
      </c>
      <c r="F49" s="130" t="s">
        <v>129</v>
      </c>
      <c r="G49" s="130" t="s">
        <v>123</v>
      </c>
      <c r="H49" s="130" t="s">
        <v>126</v>
      </c>
      <c r="I49" s="130" t="s">
        <v>117</v>
      </c>
      <c r="J49" s="130">
        <v>0</v>
      </c>
      <c r="K49" s="130">
        <v>0</v>
      </c>
      <c r="L49" s="136">
        <v>1</v>
      </c>
      <c r="M49" s="147"/>
    </row>
    <row r="50" spans="1:13" x14ac:dyDescent="0.2">
      <c r="A50" s="131">
        <v>10</v>
      </c>
      <c r="B50" s="131"/>
      <c r="C50" s="131"/>
      <c r="D50" s="131" t="s">
        <v>134</v>
      </c>
      <c r="E50" s="131" t="s">
        <v>114</v>
      </c>
      <c r="F50" s="131" t="s">
        <v>139</v>
      </c>
      <c r="G50" s="131" t="s">
        <v>140</v>
      </c>
      <c r="H50" s="131" t="s">
        <v>126</v>
      </c>
      <c r="I50" s="131" t="s">
        <v>117</v>
      </c>
      <c r="J50" s="131">
        <v>0</v>
      </c>
      <c r="K50" s="131">
        <v>0</v>
      </c>
      <c r="L50" s="135">
        <v>2</v>
      </c>
      <c r="M50" s="147"/>
    </row>
    <row r="51" spans="1:13" x14ac:dyDescent="0.2">
      <c r="A51" s="130">
        <v>11</v>
      </c>
      <c r="B51" s="130"/>
      <c r="C51" s="130"/>
      <c r="D51" s="130" t="s">
        <v>134</v>
      </c>
      <c r="E51" s="130" t="s">
        <v>114</v>
      </c>
      <c r="F51" s="130" t="s">
        <v>141</v>
      </c>
      <c r="G51" s="130" t="s">
        <v>140</v>
      </c>
      <c r="H51" s="130" t="s">
        <v>126</v>
      </c>
      <c r="I51" s="130" t="s">
        <v>117</v>
      </c>
      <c r="J51" s="130">
        <v>0</v>
      </c>
      <c r="K51" s="130">
        <v>0</v>
      </c>
      <c r="L51" s="136">
        <v>1</v>
      </c>
      <c r="M51" s="147"/>
    </row>
    <row r="52" spans="1:13" x14ac:dyDescent="0.2">
      <c r="A52">
        <v>9</v>
      </c>
      <c r="B52" t="s">
        <v>27</v>
      </c>
      <c r="C52" t="s">
        <v>36</v>
      </c>
      <c r="D52" t="s">
        <v>14</v>
      </c>
      <c r="E52" t="s">
        <v>15</v>
      </c>
      <c r="F52" t="s">
        <v>46</v>
      </c>
      <c r="G52" t="s">
        <v>47</v>
      </c>
      <c r="H52" t="s">
        <v>47</v>
      </c>
      <c r="I52" t="s">
        <v>48</v>
      </c>
      <c r="J52">
        <v>0.54</v>
      </c>
      <c r="K52">
        <v>0.3</v>
      </c>
      <c r="L52">
        <v>0.6</v>
      </c>
      <c r="M52" s="147"/>
    </row>
    <row r="53" spans="1:13" x14ac:dyDescent="0.2">
      <c r="A53" s="131">
        <v>2</v>
      </c>
      <c r="B53" s="131"/>
      <c r="C53" s="131"/>
      <c r="D53" s="131" t="s">
        <v>113</v>
      </c>
      <c r="E53" s="131" t="s">
        <v>114</v>
      </c>
      <c r="F53" s="131" t="s">
        <v>118</v>
      </c>
      <c r="G53" s="131" t="s">
        <v>119</v>
      </c>
      <c r="H53" s="131" t="s">
        <v>120</v>
      </c>
      <c r="I53" s="131" t="s">
        <v>121</v>
      </c>
      <c r="J53" s="138">
        <v>6.9375000000000001E-3</v>
      </c>
      <c r="K53" s="134">
        <v>0.01</v>
      </c>
      <c r="L53" s="134">
        <v>0.05</v>
      </c>
      <c r="M53" s="147"/>
    </row>
    <row r="54" spans="1:13" x14ac:dyDescent="0.2">
      <c r="A54">
        <v>1</v>
      </c>
      <c r="B54" t="s">
        <v>12</v>
      </c>
      <c r="C54" t="s">
        <v>13</v>
      </c>
      <c r="D54" t="s">
        <v>14</v>
      </c>
      <c r="E54" t="s">
        <v>15</v>
      </c>
      <c r="F54" t="s">
        <v>16</v>
      </c>
      <c r="G54" t="s">
        <v>17</v>
      </c>
      <c r="H54" t="s">
        <v>17</v>
      </c>
      <c r="I54" t="s">
        <v>18</v>
      </c>
      <c r="J54">
        <v>0.67179999999999995</v>
      </c>
      <c r="K54">
        <v>0.65</v>
      </c>
      <c r="L54">
        <v>0.75</v>
      </c>
      <c r="M54" s="147"/>
    </row>
    <row r="55" spans="1:13" x14ac:dyDescent="0.2">
      <c r="A55">
        <v>3</v>
      </c>
      <c r="B55" t="s">
        <v>24</v>
      </c>
      <c r="C55" t="s">
        <v>13</v>
      </c>
      <c r="D55" t="s">
        <v>14</v>
      </c>
      <c r="E55" t="s">
        <v>15</v>
      </c>
      <c r="F55" t="s">
        <v>25</v>
      </c>
      <c r="G55" t="s">
        <v>17</v>
      </c>
      <c r="H55" t="s">
        <v>17</v>
      </c>
      <c r="I55" t="s">
        <v>26</v>
      </c>
      <c r="J55">
        <v>0.13</v>
      </c>
      <c r="K55">
        <v>0.05</v>
      </c>
      <c r="L55">
        <v>0.2</v>
      </c>
      <c r="M55" s="147"/>
    </row>
    <row r="56" spans="1:13" x14ac:dyDescent="0.2">
      <c r="A56">
        <v>1</v>
      </c>
      <c r="B56" t="s">
        <v>12</v>
      </c>
      <c r="C56" t="s">
        <v>13</v>
      </c>
      <c r="D56" t="s">
        <v>14</v>
      </c>
      <c r="E56" t="s">
        <v>52</v>
      </c>
      <c r="F56" t="s">
        <v>16</v>
      </c>
      <c r="G56" t="s">
        <v>17</v>
      </c>
      <c r="H56" t="s">
        <v>17</v>
      </c>
      <c r="I56" t="s">
        <v>18</v>
      </c>
      <c r="J56">
        <v>0.67179999999999995</v>
      </c>
      <c r="K56">
        <v>0.65</v>
      </c>
      <c r="L56">
        <v>0.75</v>
      </c>
      <c r="M56" s="147"/>
    </row>
    <row r="57" spans="1:13" x14ac:dyDescent="0.2">
      <c r="A57">
        <v>3</v>
      </c>
      <c r="B57" t="s">
        <v>24</v>
      </c>
      <c r="C57" t="s">
        <v>13</v>
      </c>
      <c r="D57" t="s">
        <v>14</v>
      </c>
      <c r="E57" t="s">
        <v>52</v>
      </c>
      <c r="F57" t="s">
        <v>25</v>
      </c>
      <c r="G57" t="s">
        <v>17</v>
      </c>
      <c r="H57" t="s">
        <v>17</v>
      </c>
      <c r="I57" t="s">
        <v>26</v>
      </c>
      <c r="J57">
        <v>0.1</v>
      </c>
      <c r="K57">
        <v>0</v>
      </c>
      <c r="L57">
        <v>0.2</v>
      </c>
      <c r="M57" s="147"/>
    </row>
    <row r="58" spans="1:13" x14ac:dyDescent="0.2">
      <c r="A58">
        <v>2</v>
      </c>
      <c r="B58" t="s">
        <v>19</v>
      </c>
      <c r="C58" t="s">
        <v>20</v>
      </c>
      <c r="D58" t="s">
        <v>14</v>
      </c>
      <c r="E58" t="s">
        <v>15</v>
      </c>
      <c r="F58" t="s">
        <v>21</v>
      </c>
      <c r="G58" t="s">
        <v>22</v>
      </c>
      <c r="H58" t="s">
        <v>22</v>
      </c>
      <c r="I58" t="s">
        <v>23</v>
      </c>
      <c r="J58">
        <v>0.28100000000000003</v>
      </c>
      <c r="K58">
        <v>0.25</v>
      </c>
      <c r="L58">
        <v>0.33</v>
      </c>
      <c r="M58" s="147"/>
    </row>
    <row r="59" spans="1:13" x14ac:dyDescent="0.2">
      <c r="A59">
        <v>6</v>
      </c>
      <c r="B59" t="s">
        <v>27</v>
      </c>
      <c r="C59" t="s">
        <v>36</v>
      </c>
      <c r="D59" t="s">
        <v>14</v>
      </c>
      <c r="E59" t="s">
        <v>15</v>
      </c>
      <c r="F59" t="s">
        <v>39</v>
      </c>
      <c r="G59" t="s">
        <v>22</v>
      </c>
      <c r="H59" t="s">
        <v>30</v>
      </c>
      <c r="I59" t="s">
        <v>40</v>
      </c>
      <c r="J59">
        <v>100775.35373800551</v>
      </c>
      <c r="K59">
        <v>0</v>
      </c>
      <c r="L59">
        <v>150000000</v>
      </c>
      <c r="M59" s="147"/>
    </row>
    <row r="60" spans="1:13" x14ac:dyDescent="0.2">
      <c r="B60" t="s">
        <v>27</v>
      </c>
      <c r="C60" t="s">
        <v>36</v>
      </c>
      <c r="D60" t="s">
        <v>14</v>
      </c>
      <c r="E60" t="s">
        <v>15</v>
      </c>
      <c r="F60" t="s">
        <v>39</v>
      </c>
      <c r="G60" t="s">
        <v>22</v>
      </c>
      <c r="H60" t="s">
        <v>30</v>
      </c>
      <c r="I60" t="s">
        <v>41</v>
      </c>
      <c r="J60">
        <v>76903.646261994509</v>
      </c>
      <c r="K60">
        <v>0</v>
      </c>
      <c r="L60">
        <v>100000000</v>
      </c>
      <c r="M60" s="147"/>
    </row>
    <row r="61" spans="1:13" x14ac:dyDescent="0.2">
      <c r="A61">
        <v>2</v>
      </c>
      <c r="B61" t="s">
        <v>19</v>
      </c>
      <c r="C61" t="s">
        <v>20</v>
      </c>
      <c r="D61" t="s">
        <v>14</v>
      </c>
      <c r="E61" t="s">
        <v>52</v>
      </c>
      <c r="F61" t="s">
        <v>21</v>
      </c>
      <c r="G61" t="s">
        <v>22</v>
      </c>
      <c r="H61" t="s">
        <v>22</v>
      </c>
      <c r="I61" t="s">
        <v>23</v>
      </c>
      <c r="J61">
        <v>0.26200000000000001</v>
      </c>
      <c r="K61">
        <v>0.25</v>
      </c>
      <c r="L61">
        <v>0.33</v>
      </c>
      <c r="M61" s="147"/>
    </row>
    <row r="62" spans="1:13" x14ac:dyDescent="0.2">
      <c r="A62">
        <v>4</v>
      </c>
      <c r="B62" t="s">
        <v>27</v>
      </c>
      <c r="C62" t="s">
        <v>53</v>
      </c>
      <c r="D62" t="s">
        <v>14</v>
      </c>
      <c r="E62" t="s">
        <v>52</v>
      </c>
      <c r="F62" t="s">
        <v>54</v>
      </c>
      <c r="G62" t="s">
        <v>22</v>
      </c>
      <c r="H62" t="s">
        <v>30</v>
      </c>
      <c r="I62" t="s">
        <v>55</v>
      </c>
      <c r="J62">
        <v>1562105.7460715328</v>
      </c>
      <c r="K62">
        <v>0</v>
      </c>
      <c r="L62">
        <v>2000000</v>
      </c>
      <c r="M62" s="147"/>
    </row>
    <row r="63" spans="1:13" x14ac:dyDescent="0.2">
      <c r="B63" t="s">
        <v>27</v>
      </c>
      <c r="C63" t="s">
        <v>53</v>
      </c>
      <c r="D63" t="s">
        <v>14</v>
      </c>
      <c r="E63" t="s">
        <v>52</v>
      </c>
      <c r="F63" t="s">
        <v>54</v>
      </c>
      <c r="G63" t="s">
        <v>22</v>
      </c>
      <c r="H63" t="s">
        <v>30</v>
      </c>
      <c r="I63" t="s">
        <v>56</v>
      </c>
      <c r="J63">
        <v>19513.48971359419</v>
      </c>
      <c r="K63">
        <v>15000</v>
      </c>
      <c r="L63">
        <v>25000</v>
      </c>
      <c r="M63" s="147"/>
    </row>
    <row r="64" spans="1:13" x14ac:dyDescent="0.2">
      <c r="A64">
        <v>5</v>
      </c>
      <c r="B64" t="s">
        <v>27</v>
      </c>
      <c r="C64" t="s">
        <v>53</v>
      </c>
      <c r="D64" t="s">
        <v>14</v>
      </c>
      <c r="E64" t="s">
        <v>52</v>
      </c>
      <c r="F64" t="s">
        <v>57</v>
      </c>
      <c r="G64" t="s">
        <v>22</v>
      </c>
      <c r="H64" t="s">
        <v>30</v>
      </c>
      <c r="I64" t="s">
        <v>58</v>
      </c>
      <c r="J64">
        <v>37500</v>
      </c>
      <c r="K64">
        <v>30000</v>
      </c>
      <c r="L64">
        <v>50000</v>
      </c>
      <c r="M64" s="147"/>
    </row>
    <row r="65" spans="1:13" x14ac:dyDescent="0.2">
      <c r="B65" t="s">
        <v>27</v>
      </c>
      <c r="C65" t="s">
        <v>53</v>
      </c>
      <c r="D65" t="s">
        <v>14</v>
      </c>
      <c r="E65" t="s">
        <v>52</v>
      </c>
      <c r="F65" t="s">
        <v>57</v>
      </c>
      <c r="G65" t="s">
        <v>22</v>
      </c>
      <c r="H65" t="s">
        <v>30</v>
      </c>
      <c r="I65" t="s">
        <v>59</v>
      </c>
      <c r="J65">
        <v>17121</v>
      </c>
      <c r="K65">
        <v>10000</v>
      </c>
      <c r="L65">
        <v>30000</v>
      </c>
      <c r="M65" s="147"/>
    </row>
    <row r="66" spans="1:13" ht="25.5" x14ac:dyDescent="0.2">
      <c r="A66" s="130">
        <v>24</v>
      </c>
      <c r="B66" s="130"/>
      <c r="C66" s="130"/>
      <c r="D66" s="130" t="s">
        <v>154</v>
      </c>
      <c r="E66" s="130" t="s">
        <v>114</v>
      </c>
      <c r="F66" s="130" t="s">
        <v>156</v>
      </c>
      <c r="G66" s="137" t="s">
        <v>22</v>
      </c>
      <c r="H66" s="137" t="s">
        <v>22</v>
      </c>
      <c r="I66" s="130" t="s">
        <v>117</v>
      </c>
      <c r="J66" s="130">
        <v>0</v>
      </c>
      <c r="K66" s="130">
        <v>0</v>
      </c>
      <c r="L66" s="130">
        <v>2</v>
      </c>
      <c r="M66" s="147"/>
    </row>
    <row r="67" spans="1:13" x14ac:dyDescent="0.2">
      <c r="A67">
        <v>4</v>
      </c>
      <c r="B67" t="s">
        <v>27</v>
      </c>
      <c r="D67" t="s">
        <v>14</v>
      </c>
      <c r="E67" t="s">
        <v>15</v>
      </c>
      <c r="F67" t="s">
        <v>28</v>
      </c>
      <c r="G67" t="s">
        <v>29</v>
      </c>
      <c r="H67" t="s">
        <v>30</v>
      </c>
      <c r="I67" t="s">
        <v>31</v>
      </c>
      <c r="J67">
        <v>55866287.844539039</v>
      </c>
      <c r="K67">
        <v>0</v>
      </c>
      <c r="L67">
        <v>80000000</v>
      </c>
      <c r="M67" s="147"/>
    </row>
    <row r="68" spans="1:13" x14ac:dyDescent="0.2">
      <c r="B68" t="s">
        <v>27</v>
      </c>
      <c r="D68" t="s">
        <v>14</v>
      </c>
      <c r="E68" t="s">
        <v>15</v>
      </c>
      <c r="F68" t="s">
        <v>28</v>
      </c>
      <c r="G68" t="s">
        <v>29</v>
      </c>
      <c r="H68" t="s">
        <v>30</v>
      </c>
      <c r="I68" t="s">
        <v>32</v>
      </c>
      <c r="J68">
        <v>316915550.59491694</v>
      </c>
      <c r="K68">
        <v>0</v>
      </c>
      <c r="L68">
        <v>400000000</v>
      </c>
      <c r="M68" s="147"/>
    </row>
    <row r="69" spans="1:13" x14ac:dyDescent="0.2">
      <c r="B69" t="s">
        <v>27</v>
      </c>
      <c r="D69" t="s">
        <v>14</v>
      </c>
      <c r="E69" t="s">
        <v>15</v>
      </c>
      <c r="F69" t="s">
        <v>28</v>
      </c>
      <c r="G69" t="s">
        <v>29</v>
      </c>
      <c r="H69" t="s">
        <v>30</v>
      </c>
      <c r="I69" t="s">
        <v>33</v>
      </c>
      <c r="J69">
        <v>26629678.726202164</v>
      </c>
      <c r="K69">
        <v>0</v>
      </c>
      <c r="L69">
        <v>30000000</v>
      </c>
      <c r="M69" s="147"/>
    </row>
    <row r="70" spans="1:13" x14ac:dyDescent="0.2">
      <c r="B70" t="s">
        <v>27</v>
      </c>
      <c r="D70" t="s">
        <v>14</v>
      </c>
      <c r="E70" t="s">
        <v>15</v>
      </c>
      <c r="F70" t="s">
        <v>28</v>
      </c>
      <c r="G70" t="s">
        <v>29</v>
      </c>
      <c r="H70" t="s">
        <v>30</v>
      </c>
      <c r="I70" t="s">
        <v>34</v>
      </c>
      <c r="J70">
        <v>40671369.729793914</v>
      </c>
      <c r="K70">
        <v>0</v>
      </c>
      <c r="L70">
        <v>50000000</v>
      </c>
      <c r="M70" s="147"/>
    </row>
    <row r="71" spans="1:13" x14ac:dyDescent="0.2">
      <c r="B71" t="s">
        <v>27</v>
      </c>
      <c r="D71" t="s">
        <v>14</v>
      </c>
      <c r="E71" t="s">
        <v>15</v>
      </c>
      <c r="F71" t="s">
        <v>28</v>
      </c>
      <c r="G71" t="s">
        <v>29</v>
      </c>
      <c r="H71" t="s">
        <v>30</v>
      </c>
      <c r="I71" t="s">
        <v>35</v>
      </c>
      <c r="J71">
        <v>85083667</v>
      </c>
      <c r="K71">
        <v>0</v>
      </c>
      <c r="L71">
        <v>110000000</v>
      </c>
      <c r="M71" s="147"/>
    </row>
    <row r="72" spans="1:13" x14ac:dyDescent="0.2">
      <c r="A72">
        <v>5</v>
      </c>
      <c r="B72" t="s">
        <v>27</v>
      </c>
      <c r="C72" t="s">
        <v>36</v>
      </c>
      <c r="D72" t="s">
        <v>14</v>
      </c>
      <c r="E72" t="s">
        <v>15</v>
      </c>
      <c r="F72" t="s">
        <v>37</v>
      </c>
      <c r="G72" t="s">
        <v>29</v>
      </c>
      <c r="H72" t="s">
        <v>29</v>
      </c>
      <c r="I72" t="s">
        <v>38</v>
      </c>
      <c r="J72">
        <v>2414273438</v>
      </c>
      <c r="K72">
        <v>0</v>
      </c>
      <c r="L72">
        <v>2500000000</v>
      </c>
      <c r="M72" s="147"/>
    </row>
    <row r="73" spans="1:13" x14ac:dyDescent="0.2">
      <c r="A73">
        <v>7</v>
      </c>
      <c r="B73" t="s">
        <v>27</v>
      </c>
      <c r="C73" t="s">
        <v>36</v>
      </c>
      <c r="D73" t="s">
        <v>14</v>
      </c>
      <c r="E73" t="s">
        <v>15</v>
      </c>
      <c r="F73" t="s">
        <v>42</v>
      </c>
      <c r="G73" t="s">
        <v>29</v>
      </c>
      <c r="H73" t="s">
        <v>29</v>
      </c>
      <c r="I73" t="s">
        <v>43</v>
      </c>
      <c r="J73">
        <v>680000000</v>
      </c>
      <c r="K73">
        <v>0</v>
      </c>
      <c r="L73">
        <v>700000000</v>
      </c>
      <c r="M73" s="147"/>
    </row>
    <row r="74" spans="1:13" x14ac:dyDescent="0.2">
      <c r="A74">
        <v>8</v>
      </c>
      <c r="B74" t="s">
        <v>27</v>
      </c>
      <c r="C74" t="s">
        <v>36</v>
      </c>
      <c r="D74" t="s">
        <v>14</v>
      </c>
      <c r="E74" t="s">
        <v>15</v>
      </c>
      <c r="F74" t="s">
        <v>44</v>
      </c>
      <c r="G74" t="s">
        <v>29</v>
      </c>
      <c r="H74" t="s">
        <v>30</v>
      </c>
      <c r="I74" t="s">
        <v>45</v>
      </c>
      <c r="J74">
        <v>58000000</v>
      </c>
      <c r="K74">
        <v>0</v>
      </c>
      <c r="L74">
        <v>70000000</v>
      </c>
      <c r="M74" s="147"/>
    </row>
    <row r="75" spans="1:13" x14ac:dyDescent="0.2">
      <c r="A75">
        <v>1</v>
      </c>
      <c r="B75" t="s">
        <v>100</v>
      </c>
      <c r="D75" t="s">
        <v>100</v>
      </c>
      <c r="E75" t="s">
        <v>100</v>
      </c>
      <c r="F75" t="s">
        <v>101</v>
      </c>
      <c r="G75" t="s">
        <v>102</v>
      </c>
      <c r="H75" t="s">
        <v>102</v>
      </c>
      <c r="I75" t="s">
        <v>103</v>
      </c>
      <c r="J75">
        <v>62151659.259999998</v>
      </c>
      <c r="K75">
        <v>25000000</v>
      </c>
      <c r="L75">
        <v>75000000</v>
      </c>
      <c r="M75" s="147"/>
    </row>
    <row r="76" spans="1:13" x14ac:dyDescent="0.2">
      <c r="D76" t="s">
        <v>100</v>
      </c>
      <c r="E76" t="s">
        <v>100</v>
      </c>
      <c r="F76" t="s">
        <v>101</v>
      </c>
      <c r="G76" t="s">
        <v>102</v>
      </c>
      <c r="H76" t="s">
        <v>102</v>
      </c>
      <c r="I76" t="s">
        <v>104</v>
      </c>
      <c r="J76">
        <v>2324252.31</v>
      </c>
      <c r="K76">
        <v>0</v>
      </c>
      <c r="L76">
        <v>5000000</v>
      </c>
      <c r="M76" s="147"/>
    </row>
    <row r="77" spans="1:13" x14ac:dyDescent="0.2">
      <c r="A77" s="131">
        <v>7</v>
      </c>
      <c r="B77" s="131"/>
      <c r="C77" s="131"/>
      <c r="D77" s="131" t="s">
        <v>134</v>
      </c>
      <c r="E77" s="131" t="s">
        <v>114</v>
      </c>
      <c r="F77" s="131" t="s">
        <v>135</v>
      </c>
      <c r="G77" s="131" t="s">
        <v>136</v>
      </c>
      <c r="H77" s="131" t="s">
        <v>120</v>
      </c>
      <c r="I77" s="131" t="s">
        <v>117</v>
      </c>
      <c r="J77" s="131">
        <v>0</v>
      </c>
      <c r="K77" s="131">
        <v>0</v>
      </c>
      <c r="L77" s="135">
        <v>1</v>
      </c>
      <c r="M77" s="147"/>
    </row>
    <row r="78" spans="1:13" x14ac:dyDescent="0.2">
      <c r="A78" s="131">
        <v>8</v>
      </c>
      <c r="B78" s="131"/>
      <c r="C78" s="131"/>
      <c r="D78" s="131" t="s">
        <v>134</v>
      </c>
      <c r="E78" s="131" t="s">
        <v>114</v>
      </c>
      <c r="F78" s="131" t="s">
        <v>137</v>
      </c>
      <c r="G78" s="131" t="s">
        <v>136</v>
      </c>
      <c r="H78" s="131" t="s">
        <v>120</v>
      </c>
      <c r="I78" s="131" t="s">
        <v>117</v>
      </c>
      <c r="J78" s="131">
        <v>0</v>
      </c>
      <c r="K78" s="131">
        <v>0</v>
      </c>
      <c r="L78" s="135">
        <v>1</v>
      </c>
      <c r="M78" s="147"/>
    </row>
    <row r="79" spans="1:13" x14ac:dyDescent="0.2">
      <c r="A79" s="131">
        <v>9</v>
      </c>
      <c r="B79" s="131"/>
      <c r="C79" s="131"/>
      <c r="D79" s="131" t="s">
        <v>134</v>
      </c>
      <c r="E79" s="131" t="s">
        <v>114</v>
      </c>
      <c r="F79" s="131" t="s">
        <v>138</v>
      </c>
      <c r="G79" s="131" t="s">
        <v>136</v>
      </c>
      <c r="H79" s="131" t="s">
        <v>120</v>
      </c>
      <c r="I79" s="131" t="s">
        <v>117</v>
      </c>
      <c r="J79" s="131">
        <v>0</v>
      </c>
      <c r="K79" s="131">
        <v>0</v>
      </c>
      <c r="L79" s="135">
        <v>1</v>
      </c>
      <c r="M79" s="147"/>
    </row>
    <row r="80" spans="1:13" x14ac:dyDescent="0.2">
      <c r="A80" s="131">
        <v>23</v>
      </c>
      <c r="B80" s="131"/>
      <c r="C80" s="131"/>
      <c r="D80" s="131" t="s">
        <v>154</v>
      </c>
      <c r="E80" s="131" t="s">
        <v>114</v>
      </c>
      <c r="F80" s="131" t="s">
        <v>155</v>
      </c>
      <c r="G80" s="131" t="s">
        <v>136</v>
      </c>
      <c r="H80" s="131" t="s">
        <v>120</v>
      </c>
      <c r="I80" s="131" t="s">
        <v>128</v>
      </c>
      <c r="J80" s="131">
        <v>0</v>
      </c>
      <c r="K80" s="131">
        <v>0</v>
      </c>
      <c r="L80" s="131">
        <v>0</v>
      </c>
      <c r="M80" s="147"/>
    </row>
    <row r="81" spans="1:13" x14ac:dyDescent="0.2">
      <c r="A81" s="130">
        <v>25</v>
      </c>
      <c r="B81" s="130"/>
      <c r="C81" s="130"/>
      <c r="D81" s="130" t="s">
        <v>154</v>
      </c>
      <c r="E81" s="130" t="s">
        <v>114</v>
      </c>
      <c r="F81" s="130" t="s">
        <v>157</v>
      </c>
      <c r="G81" s="130" t="s">
        <v>136</v>
      </c>
      <c r="H81" s="130" t="s">
        <v>120</v>
      </c>
      <c r="I81" s="130" t="s">
        <v>158</v>
      </c>
      <c r="J81" s="130">
        <v>0</v>
      </c>
      <c r="K81" s="130">
        <v>0</v>
      </c>
      <c r="L81" s="130">
        <v>1</v>
      </c>
      <c r="M81" s="147"/>
    </row>
    <row r="82" spans="1:13" x14ac:dyDescent="0.2">
      <c r="A82" s="130">
        <v>29</v>
      </c>
      <c r="B82" s="130"/>
      <c r="C82" s="130"/>
      <c r="D82" s="130" t="s">
        <v>172</v>
      </c>
      <c r="E82" s="130" t="s">
        <v>114</v>
      </c>
      <c r="F82" s="130" t="s">
        <v>174</v>
      </c>
      <c r="G82" s="130" t="s">
        <v>136</v>
      </c>
      <c r="H82" s="130" t="s">
        <v>136</v>
      </c>
      <c r="I82" s="130" t="s">
        <v>175</v>
      </c>
      <c r="J82" s="136"/>
      <c r="K82" s="136">
        <v>0</v>
      </c>
      <c r="L82" s="136">
        <v>50000</v>
      </c>
      <c r="M82" s="147"/>
    </row>
    <row r="83" spans="1:13" x14ac:dyDescent="0.2">
      <c r="A83" s="130">
        <v>31</v>
      </c>
      <c r="B83" s="130"/>
      <c r="C83" s="130"/>
      <c r="D83" s="130" t="s">
        <v>172</v>
      </c>
      <c r="E83" s="130" t="s">
        <v>114</v>
      </c>
      <c r="F83" s="130" t="s">
        <v>177</v>
      </c>
      <c r="G83" s="130" t="s">
        <v>136</v>
      </c>
      <c r="H83" s="130" t="s">
        <v>120</v>
      </c>
      <c r="I83" s="130" t="s">
        <v>175</v>
      </c>
      <c r="J83" s="136"/>
      <c r="K83" s="136">
        <v>0</v>
      </c>
      <c r="L83" s="136">
        <v>50000</v>
      </c>
      <c r="M83" s="147"/>
    </row>
    <row r="84" spans="1:13" x14ac:dyDescent="0.2">
      <c r="A84" s="131"/>
      <c r="B84" s="131"/>
      <c r="C84" s="131"/>
      <c r="D84" s="131"/>
      <c r="E84" s="131" t="s">
        <v>114</v>
      </c>
      <c r="F84" s="131"/>
      <c r="G84" s="131"/>
      <c r="H84" s="131" t="s">
        <v>126</v>
      </c>
      <c r="I84" s="131" t="s">
        <v>128</v>
      </c>
      <c r="J84" s="131">
        <v>0</v>
      </c>
      <c r="K84" s="131">
        <v>0</v>
      </c>
      <c r="L84" s="135">
        <v>2000</v>
      </c>
      <c r="M84" s="147"/>
    </row>
    <row r="85" spans="1:13" x14ac:dyDescent="0.2">
      <c r="A85" s="131"/>
      <c r="B85" s="131"/>
      <c r="C85" s="131"/>
      <c r="D85" s="131"/>
      <c r="E85" s="131" t="s">
        <v>114</v>
      </c>
      <c r="F85" s="131"/>
      <c r="G85" s="131"/>
      <c r="H85" s="131" t="s">
        <v>126</v>
      </c>
      <c r="I85" s="131" t="s">
        <v>128</v>
      </c>
      <c r="J85" s="131">
        <v>0</v>
      </c>
      <c r="K85" s="131">
        <v>0</v>
      </c>
      <c r="L85" s="135">
        <v>2000</v>
      </c>
      <c r="M85" s="147"/>
    </row>
    <row r="86" spans="1:13" x14ac:dyDescent="0.2">
      <c r="A86" s="130"/>
      <c r="B86" s="130"/>
      <c r="C86" s="130"/>
      <c r="D86" s="130"/>
      <c r="E86" s="130" t="s">
        <v>114</v>
      </c>
      <c r="F86" s="130"/>
      <c r="G86" s="130"/>
      <c r="H86" s="130" t="s">
        <v>130</v>
      </c>
      <c r="I86" s="130" t="s">
        <v>131</v>
      </c>
      <c r="J86" s="130" t="s">
        <v>132</v>
      </c>
      <c r="K86" s="130" t="s">
        <v>133</v>
      </c>
      <c r="L86" s="136">
        <v>2</v>
      </c>
      <c r="M86" s="147"/>
    </row>
    <row r="87" spans="1:13" x14ac:dyDescent="0.2">
      <c r="A87" s="130"/>
      <c r="B87" s="130"/>
      <c r="C87" s="130"/>
      <c r="D87" s="130"/>
      <c r="E87" s="130" t="s">
        <v>114</v>
      </c>
      <c r="F87" s="130"/>
      <c r="G87" s="130"/>
      <c r="H87" s="130" t="s">
        <v>120</v>
      </c>
      <c r="I87" s="130" t="s">
        <v>128</v>
      </c>
      <c r="J87" s="130">
        <v>0</v>
      </c>
      <c r="K87" s="130">
        <v>0</v>
      </c>
      <c r="L87" s="136">
        <v>2000</v>
      </c>
      <c r="M87" s="147"/>
    </row>
    <row r="88" spans="1:13" x14ac:dyDescent="0.2">
      <c r="A88" s="130"/>
      <c r="B88" s="130"/>
      <c r="C88" s="130"/>
      <c r="D88" s="130"/>
      <c r="E88" s="130" t="s">
        <v>114</v>
      </c>
      <c r="F88" s="130"/>
      <c r="G88" s="130"/>
      <c r="H88" s="130" t="s">
        <v>120</v>
      </c>
      <c r="I88" s="130" t="s">
        <v>128</v>
      </c>
      <c r="J88" s="130">
        <v>0</v>
      </c>
      <c r="K88" s="130">
        <v>0</v>
      </c>
      <c r="L88" s="136">
        <v>2000</v>
      </c>
      <c r="M88" s="147"/>
    </row>
    <row r="89" spans="1:13" x14ac:dyDescent="0.2">
      <c r="A89" s="130"/>
      <c r="B89" s="130"/>
      <c r="C89" s="130"/>
      <c r="D89" s="130"/>
      <c r="E89" s="130" t="s">
        <v>114</v>
      </c>
      <c r="F89" s="130"/>
      <c r="G89" s="130"/>
      <c r="H89" s="130" t="s">
        <v>120</v>
      </c>
      <c r="I89" s="130" t="s">
        <v>128</v>
      </c>
      <c r="J89" s="130">
        <v>0</v>
      </c>
      <c r="K89" s="130">
        <v>0</v>
      </c>
      <c r="L89" s="136">
        <v>2000</v>
      </c>
      <c r="M89" s="147"/>
    </row>
    <row r="90" spans="1:13" x14ac:dyDescent="0.2">
      <c r="A90" s="130"/>
      <c r="B90" s="130"/>
      <c r="C90" s="130"/>
      <c r="D90" s="130"/>
      <c r="E90" s="130" t="s">
        <v>114</v>
      </c>
      <c r="F90" s="130"/>
      <c r="G90" s="130"/>
      <c r="H90" s="130" t="s">
        <v>145</v>
      </c>
      <c r="I90" s="130" t="s">
        <v>153</v>
      </c>
      <c r="J90" s="132">
        <v>0.18</v>
      </c>
      <c r="K90" s="140">
        <v>0.05</v>
      </c>
      <c r="L90" s="132">
        <v>0.15</v>
      </c>
      <c r="M90" s="147"/>
    </row>
    <row r="91" spans="1:13" x14ac:dyDescent="0.2">
      <c r="A91" s="131"/>
      <c r="B91" s="131"/>
      <c r="C91" s="131"/>
      <c r="D91" s="131"/>
      <c r="E91" s="131" t="s">
        <v>114</v>
      </c>
      <c r="F91" s="131"/>
      <c r="G91" s="133"/>
      <c r="H91" s="133"/>
      <c r="I91" s="131" t="s">
        <v>128</v>
      </c>
      <c r="J91" s="131">
        <v>0</v>
      </c>
      <c r="K91" s="131"/>
      <c r="L91" s="135">
        <v>50000</v>
      </c>
      <c r="M91" s="147"/>
    </row>
    <row r="92" spans="1:13" x14ac:dyDescent="0.2">
      <c r="A92" s="131"/>
      <c r="B92" s="131"/>
      <c r="C92" s="131"/>
      <c r="D92" s="131"/>
      <c r="E92" s="131" t="s">
        <v>114</v>
      </c>
      <c r="F92" s="131"/>
      <c r="G92" s="131"/>
      <c r="H92" s="131"/>
      <c r="I92" s="131" t="s">
        <v>128</v>
      </c>
      <c r="J92" s="131">
        <v>0</v>
      </c>
      <c r="K92" s="131">
        <v>0</v>
      </c>
      <c r="L92" s="135">
        <v>100000</v>
      </c>
      <c r="M92" s="147"/>
    </row>
    <row r="93" spans="1:13" x14ac:dyDescent="0.2">
      <c r="A93" s="130"/>
      <c r="B93" s="130"/>
      <c r="C93" s="130"/>
      <c r="D93" s="130"/>
      <c r="E93" s="130" t="s">
        <v>114</v>
      </c>
      <c r="F93" s="130"/>
      <c r="G93" s="130"/>
      <c r="H93" s="130" t="s">
        <v>130</v>
      </c>
      <c r="I93" s="130" t="s">
        <v>128</v>
      </c>
      <c r="J93" s="130"/>
      <c r="K93" s="130">
        <v>0</v>
      </c>
      <c r="L93" s="136">
        <v>5000000</v>
      </c>
      <c r="M93" s="147"/>
    </row>
    <row r="94" spans="1:13" x14ac:dyDescent="0.2">
      <c r="A94" s="131"/>
      <c r="B94" s="131"/>
      <c r="C94" s="131"/>
      <c r="D94" s="131"/>
      <c r="E94" s="131" t="s">
        <v>114</v>
      </c>
      <c r="F94" s="131" t="s">
        <v>167</v>
      </c>
      <c r="G94" s="131"/>
      <c r="H94" s="131" t="s">
        <v>130</v>
      </c>
      <c r="I94" s="131" t="s">
        <v>168</v>
      </c>
      <c r="J94" s="131">
        <v>0</v>
      </c>
      <c r="K94" s="131">
        <v>0</v>
      </c>
      <c r="L94" s="135">
        <v>4</v>
      </c>
      <c r="M94" s="147"/>
    </row>
    <row r="95" spans="1:13" x14ac:dyDescent="0.2">
      <c r="A95" s="130"/>
      <c r="B95" s="130"/>
      <c r="C95" s="130"/>
      <c r="D95" s="130"/>
      <c r="E95" s="130" t="s">
        <v>114</v>
      </c>
      <c r="F95" s="130"/>
      <c r="G95" s="130"/>
      <c r="H95" s="130" t="s">
        <v>130</v>
      </c>
      <c r="I95" s="130" t="s">
        <v>169</v>
      </c>
      <c r="J95" s="130">
        <v>10</v>
      </c>
      <c r="K95" s="130">
        <v>0</v>
      </c>
      <c r="L95" s="136">
        <v>30</v>
      </c>
      <c r="M95" s="147"/>
    </row>
    <row r="96" spans="1:13" x14ac:dyDescent="0.2">
      <c r="A96" s="131"/>
      <c r="B96" s="131"/>
      <c r="C96" s="131"/>
      <c r="D96" s="131"/>
      <c r="E96" s="131" t="s">
        <v>114</v>
      </c>
      <c r="F96" s="131" t="s">
        <v>170</v>
      </c>
      <c r="G96" s="131"/>
      <c r="H96" s="131" t="s">
        <v>130</v>
      </c>
      <c r="I96" s="131" t="s">
        <v>165</v>
      </c>
      <c r="J96" s="131" t="s">
        <v>132</v>
      </c>
      <c r="K96" s="131" t="s">
        <v>133</v>
      </c>
      <c r="L96" s="131" t="s">
        <v>166</v>
      </c>
      <c r="M96" s="147"/>
    </row>
    <row r="97" spans="1:13" x14ac:dyDescent="0.2">
      <c r="A97" s="130"/>
      <c r="B97" s="130"/>
      <c r="C97" s="130"/>
      <c r="D97" s="130"/>
      <c r="E97" s="130" t="s">
        <v>114</v>
      </c>
      <c r="F97" s="130"/>
      <c r="G97" s="130"/>
      <c r="H97" s="130" t="s">
        <v>130</v>
      </c>
      <c r="I97" s="130" t="s">
        <v>128</v>
      </c>
      <c r="J97" s="130"/>
      <c r="K97" s="130">
        <v>0</v>
      </c>
      <c r="L97" s="136">
        <v>5000000</v>
      </c>
      <c r="M97" s="147"/>
    </row>
    <row r="98" spans="1:13" x14ac:dyDescent="0.2">
      <c r="A98" s="131"/>
      <c r="B98" s="131"/>
      <c r="C98" s="131"/>
      <c r="D98" s="131"/>
      <c r="E98" s="131" t="s">
        <v>114</v>
      </c>
      <c r="F98" s="131" t="s">
        <v>171</v>
      </c>
      <c r="G98" s="131"/>
      <c r="H98" s="131" t="s">
        <v>130</v>
      </c>
      <c r="I98" s="131" t="s">
        <v>165</v>
      </c>
      <c r="J98" s="131" t="s">
        <v>132</v>
      </c>
      <c r="K98" s="131" t="s">
        <v>133</v>
      </c>
      <c r="L98" s="131" t="s">
        <v>166</v>
      </c>
      <c r="M98" s="147"/>
    </row>
    <row r="99" spans="1:13" x14ac:dyDescent="0.2">
      <c r="A99" s="130"/>
      <c r="B99" s="130"/>
      <c r="C99" s="130"/>
      <c r="D99" s="130"/>
      <c r="E99" s="130" t="s">
        <v>114</v>
      </c>
      <c r="F99" s="130"/>
      <c r="G99" s="130"/>
      <c r="H99" s="130" t="s">
        <v>130</v>
      </c>
      <c r="I99" s="130" t="s">
        <v>128</v>
      </c>
      <c r="J99" s="130"/>
      <c r="K99" s="130">
        <v>0</v>
      </c>
      <c r="L99" s="136">
        <v>5000000</v>
      </c>
      <c r="M99" s="147"/>
    </row>
    <row r="100" spans="1:13" x14ac:dyDescent="0.2">
      <c r="A100" s="131">
        <v>28</v>
      </c>
      <c r="B100" s="131"/>
      <c r="C100" s="131"/>
      <c r="D100" s="131" t="s">
        <v>172</v>
      </c>
      <c r="E100" s="131" t="s">
        <v>114</v>
      </c>
      <c r="F100" s="131" t="s">
        <v>173</v>
      </c>
      <c r="G100" s="131"/>
      <c r="H100" s="131" t="s">
        <v>130</v>
      </c>
      <c r="I100" s="131" t="s">
        <v>117</v>
      </c>
      <c r="J100" s="135">
        <v>0</v>
      </c>
      <c r="K100" s="135">
        <v>0</v>
      </c>
      <c r="L100" s="135">
        <v>0</v>
      </c>
      <c r="M100" s="147"/>
    </row>
    <row r="101" spans="1:13" x14ac:dyDescent="0.2">
      <c r="A101" s="131">
        <v>30</v>
      </c>
      <c r="B101" s="131"/>
      <c r="C101" s="131"/>
      <c r="D101" s="131" t="s">
        <v>172</v>
      </c>
      <c r="E101" s="131" t="s">
        <v>114</v>
      </c>
      <c r="F101" s="131" t="s">
        <v>176</v>
      </c>
      <c r="G101" s="131"/>
      <c r="H101" s="131" t="s">
        <v>30</v>
      </c>
      <c r="I101" s="131" t="s">
        <v>117</v>
      </c>
      <c r="J101" s="135">
        <v>0</v>
      </c>
      <c r="K101" s="135">
        <v>0</v>
      </c>
      <c r="L101" s="135">
        <v>2</v>
      </c>
      <c r="M101" s="147"/>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253B7-4236-41CD-B0AB-EB49259FE2FB}">
  <dimension ref="A3:A9"/>
  <sheetViews>
    <sheetView workbookViewId="0">
      <selection activeCell="D12" sqref="D12"/>
    </sheetView>
  </sheetViews>
  <sheetFormatPr defaultRowHeight="12.75" x14ac:dyDescent="0.2"/>
  <cols>
    <col min="1" max="1" width="22.28515625" bestFit="1" customWidth="1"/>
    <col min="2" max="5" width="24.5703125" bestFit="1" customWidth="1"/>
    <col min="6" max="7" width="11.7109375" bestFit="1" customWidth="1"/>
    <col min="8" max="8" width="25" bestFit="1" customWidth="1"/>
    <col min="9" max="9" width="13.5703125" bestFit="1" customWidth="1"/>
    <col min="10" max="10" width="24.5703125" bestFit="1" customWidth="1"/>
    <col min="11" max="11" width="23.42578125" bestFit="1" customWidth="1"/>
    <col min="12" max="12" width="30" bestFit="1" customWidth="1"/>
    <col min="13" max="13" width="27.140625" bestFit="1" customWidth="1"/>
    <col min="14" max="14" width="21.7109375" bestFit="1" customWidth="1"/>
    <col min="15" max="15" width="30.5703125" bestFit="1" customWidth="1"/>
    <col min="16" max="16" width="30.85546875" bestFit="1" customWidth="1"/>
    <col min="17" max="17" width="29.140625" bestFit="1" customWidth="1"/>
    <col min="18" max="18" width="28.5703125" bestFit="1" customWidth="1"/>
    <col min="19" max="19" width="29.42578125" bestFit="1" customWidth="1"/>
    <col min="20" max="20" width="32.5703125" bestFit="1" customWidth="1"/>
    <col min="21" max="21" width="13.7109375" bestFit="1" customWidth="1"/>
    <col min="22" max="22" width="26.5703125" bestFit="1" customWidth="1"/>
    <col min="23" max="23" width="21.5703125" bestFit="1" customWidth="1"/>
    <col min="24" max="24" width="17" bestFit="1" customWidth="1"/>
    <col min="25" max="25" width="24.5703125" bestFit="1" customWidth="1"/>
    <col min="26" max="26" width="29" bestFit="1" customWidth="1"/>
    <col min="27" max="27" width="24" bestFit="1" customWidth="1"/>
    <col min="28" max="28" width="21.85546875" bestFit="1" customWidth="1"/>
    <col min="29" max="29" width="37.85546875" bestFit="1" customWidth="1"/>
    <col min="30" max="30" width="20.42578125" bestFit="1" customWidth="1"/>
    <col min="31" max="31" width="23.42578125" bestFit="1" customWidth="1"/>
    <col min="32" max="32" width="37" bestFit="1" customWidth="1"/>
    <col min="33" max="33" width="16.7109375" bestFit="1" customWidth="1"/>
    <col min="34" max="34" width="25.5703125" bestFit="1" customWidth="1"/>
    <col min="35" max="35" width="20.5703125" bestFit="1" customWidth="1"/>
    <col min="36" max="36" width="41.85546875" bestFit="1" customWidth="1"/>
    <col min="37" max="37" width="35.28515625" bestFit="1" customWidth="1"/>
    <col min="38" max="38" width="30.7109375" bestFit="1" customWidth="1"/>
    <col min="39" max="39" width="4" bestFit="1" customWidth="1"/>
    <col min="40" max="40" width="7.140625" bestFit="1" customWidth="1"/>
    <col min="41" max="41" width="16.140625" bestFit="1" customWidth="1"/>
    <col min="42" max="42" width="10.42578125" bestFit="1" customWidth="1"/>
    <col min="43" max="43" width="7.28515625" bestFit="1" customWidth="1"/>
    <col min="44" max="44" width="14.5703125" bestFit="1" customWidth="1"/>
    <col min="45" max="45" width="26.5703125" bestFit="1" customWidth="1"/>
    <col min="46" max="46" width="11.5703125" bestFit="1" customWidth="1"/>
    <col min="47" max="47" width="4" bestFit="1" customWidth="1"/>
    <col min="48" max="48" width="8.5703125" bestFit="1" customWidth="1"/>
    <col min="49" max="49" width="29.7109375" bestFit="1" customWidth="1"/>
    <col min="50" max="50" width="18" bestFit="1" customWidth="1"/>
    <col min="51" max="51" width="9" bestFit="1" customWidth="1"/>
    <col min="52" max="52" width="6.7109375" bestFit="1" customWidth="1"/>
    <col min="53" max="53" width="8.85546875" bestFit="1" customWidth="1"/>
    <col min="54" max="54" width="17.140625" bestFit="1" customWidth="1"/>
    <col min="55" max="55" width="13.140625" bestFit="1" customWidth="1"/>
    <col min="56" max="56" width="16.42578125" bestFit="1" customWidth="1"/>
    <col min="57" max="57" width="31.85546875" bestFit="1" customWidth="1"/>
    <col min="58" max="58" width="24.85546875" bestFit="1" customWidth="1"/>
    <col min="59" max="59" width="16.42578125" bestFit="1" customWidth="1"/>
    <col min="60" max="60" width="16.7109375" bestFit="1" customWidth="1"/>
    <col min="61" max="61" width="25" bestFit="1" customWidth="1"/>
    <col min="62" max="62" width="24.5703125" bestFit="1" customWidth="1"/>
    <col min="63" max="63" width="30" bestFit="1" customWidth="1"/>
    <col min="64" max="64" width="11.7109375" bestFit="1" customWidth="1"/>
    <col min="65" max="65" width="7.140625" bestFit="1" customWidth="1"/>
    <col min="66" max="66" width="12.28515625" bestFit="1" customWidth="1"/>
    <col min="67" max="67" width="11.7109375" bestFit="1" customWidth="1"/>
  </cols>
  <sheetData>
    <row r="3" spans="1:1" x14ac:dyDescent="0.2">
      <c r="A3" s="149" t="s">
        <v>987</v>
      </c>
    </row>
    <row r="4" spans="1:1" x14ac:dyDescent="0.2">
      <c r="A4" s="150" t="s">
        <v>15</v>
      </c>
    </row>
    <row r="5" spans="1:1" x14ac:dyDescent="0.2">
      <c r="A5" s="150" t="s">
        <v>114</v>
      </c>
    </row>
    <row r="6" spans="1:1" x14ac:dyDescent="0.2">
      <c r="A6" s="150" t="s">
        <v>100</v>
      </c>
    </row>
    <row r="7" spans="1:1" x14ac:dyDescent="0.2">
      <c r="A7" s="150" t="s">
        <v>64</v>
      </c>
    </row>
    <row r="8" spans="1:1" x14ac:dyDescent="0.2">
      <c r="A8" s="150" t="s">
        <v>52</v>
      </c>
    </row>
    <row r="9" spans="1:1" x14ac:dyDescent="0.2">
      <c r="A9" s="150" t="s">
        <v>986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tint="0.59999389629810485"/>
    <pageSetUpPr fitToPage="1"/>
  </sheetPr>
  <dimension ref="B1:T69"/>
  <sheetViews>
    <sheetView showGridLines="0" topLeftCell="A33" zoomScaleSheetLayoutView="80" workbookViewId="0">
      <selection activeCell="E45" sqref="E45"/>
    </sheetView>
  </sheetViews>
  <sheetFormatPr defaultColWidth="9.140625" defaultRowHeight="12.75" outlineLevelCol="1" x14ac:dyDescent="0.2"/>
  <cols>
    <col min="1" max="1" width="10.5703125" style="52" customWidth="1"/>
    <col min="2" max="2" width="11" style="63" customWidth="1"/>
    <col min="3" max="3" width="12.42578125" style="63" customWidth="1"/>
    <col min="4" max="4" width="21.140625" style="52" customWidth="1"/>
    <col min="5" max="5" width="32.5703125" style="52" customWidth="1"/>
    <col min="6" max="6" width="51.85546875" style="63" customWidth="1"/>
    <col min="7" max="9" width="13.140625" style="52" customWidth="1" outlineLevel="1"/>
    <col min="10" max="10" width="15.85546875" style="52" customWidth="1" outlineLevel="1"/>
    <col min="11" max="11" width="13.85546875" style="52" customWidth="1" outlineLevel="1"/>
    <col min="12" max="12" width="13.85546875" style="52" hidden="1" customWidth="1" outlineLevel="1"/>
    <col min="13" max="14" width="13.85546875" style="52" customWidth="1" outlineLevel="1"/>
    <col min="15" max="16" width="12.140625" style="52" customWidth="1" outlineLevel="1"/>
    <col min="17" max="17" width="12" style="52" customWidth="1" outlineLevel="1"/>
    <col min="18" max="18" width="54.140625" style="52" customWidth="1"/>
    <col min="19" max="19" width="11.42578125" style="52" customWidth="1"/>
    <col min="20" max="20" width="26.140625" style="52" customWidth="1"/>
    <col min="21" max="16384" width="9.140625" style="52"/>
  </cols>
  <sheetData>
    <row r="1" spans="2:20" s="40" customFormat="1" x14ac:dyDescent="0.2">
      <c r="B1" s="39"/>
      <c r="C1" s="39"/>
      <c r="F1" s="41"/>
      <c r="T1" s="42"/>
    </row>
    <row r="2" spans="2:20" s="40" customFormat="1" ht="8.1" customHeight="1" x14ac:dyDescent="0.2">
      <c r="F2" s="41"/>
      <c r="T2" s="42"/>
    </row>
    <row r="3" spans="2:20" s="40" customFormat="1" ht="26.25" x14ac:dyDescent="0.4">
      <c r="B3" s="43" t="s">
        <v>180</v>
      </c>
      <c r="C3" s="43"/>
      <c r="F3" s="41"/>
      <c r="T3" s="42"/>
    </row>
    <row r="4" spans="2:20" s="40" customFormat="1" x14ac:dyDescent="0.2">
      <c r="B4" s="44"/>
      <c r="C4" s="44"/>
      <c r="F4" s="41"/>
      <c r="T4" s="42"/>
    </row>
    <row r="5" spans="2:20" s="40" customFormat="1" ht="11.25" customHeight="1" thickBot="1" x14ac:dyDescent="0.25">
      <c r="B5" s="41"/>
      <c r="C5" s="41"/>
      <c r="F5" s="41"/>
      <c r="T5" s="42"/>
    </row>
    <row r="6" spans="2:20" ht="43.5" customHeight="1" x14ac:dyDescent="0.2">
      <c r="B6" s="45" t="s">
        <v>181</v>
      </c>
      <c r="C6" s="46" t="s">
        <v>182</v>
      </c>
      <c r="D6" s="46" t="s">
        <v>183</v>
      </c>
      <c r="E6" s="46" t="s">
        <v>184</v>
      </c>
      <c r="F6" s="46" t="s">
        <v>185</v>
      </c>
      <c r="G6" s="47" t="s">
        <v>186</v>
      </c>
      <c r="H6" s="47" t="s">
        <v>187</v>
      </c>
      <c r="I6" s="48" t="s">
        <v>188</v>
      </c>
      <c r="J6" s="49" t="s">
        <v>189</v>
      </c>
      <c r="K6" s="50" t="s">
        <v>190</v>
      </c>
      <c r="L6" s="50" t="s">
        <v>191</v>
      </c>
      <c r="M6" s="50" t="s">
        <v>192</v>
      </c>
      <c r="N6" s="51" t="s">
        <v>193</v>
      </c>
      <c r="O6" s="50" t="s">
        <v>194</v>
      </c>
      <c r="P6" s="50" t="s">
        <v>195</v>
      </c>
      <c r="Q6" s="51" t="s">
        <v>196</v>
      </c>
      <c r="R6" s="46" t="s">
        <v>197</v>
      </c>
      <c r="S6" s="48" t="s">
        <v>198</v>
      </c>
    </row>
    <row r="7" spans="2:20" s="63" customFormat="1" ht="38.25" x14ac:dyDescent="0.2">
      <c r="B7" s="53" t="s">
        <v>199</v>
      </c>
      <c r="C7" s="112"/>
      <c r="D7" s="54" t="s">
        <v>200</v>
      </c>
      <c r="E7" s="55" t="s">
        <v>201</v>
      </c>
      <c r="F7" s="56" t="s">
        <v>202</v>
      </c>
      <c r="G7" s="56" t="s">
        <v>47</v>
      </c>
      <c r="H7" s="56"/>
      <c r="I7" s="57"/>
      <c r="J7" s="58"/>
      <c r="K7" s="59"/>
      <c r="L7" s="59" t="s">
        <v>203</v>
      </c>
      <c r="M7" s="59"/>
      <c r="N7" s="60" t="s">
        <v>203</v>
      </c>
      <c r="O7" s="58"/>
      <c r="P7" s="59"/>
      <c r="Q7" s="60"/>
      <c r="R7" s="61" t="s">
        <v>204</v>
      </c>
      <c r="S7" s="62"/>
    </row>
    <row r="8" spans="2:20" s="63" customFormat="1" ht="29.25" customHeight="1" x14ac:dyDescent="0.2">
      <c r="B8" s="53" t="s">
        <v>205</v>
      </c>
      <c r="C8" s="112"/>
      <c r="D8" s="54" t="s">
        <v>200</v>
      </c>
      <c r="E8" s="55" t="s">
        <v>206</v>
      </c>
      <c r="F8" s="56" t="s">
        <v>207</v>
      </c>
      <c r="G8" s="56" t="s">
        <v>208</v>
      </c>
      <c r="H8" s="56"/>
      <c r="I8" s="57"/>
      <c r="J8" s="58"/>
      <c r="K8" s="59"/>
      <c r="L8" s="59" t="s">
        <v>203</v>
      </c>
      <c r="M8" s="59"/>
      <c r="N8" s="60" t="s">
        <v>203</v>
      </c>
      <c r="O8" s="58"/>
      <c r="P8" s="59"/>
      <c r="Q8" s="60"/>
      <c r="R8" s="61" t="s">
        <v>209</v>
      </c>
      <c r="S8" s="62"/>
    </row>
    <row r="9" spans="2:20" s="63" customFormat="1" ht="42" customHeight="1" x14ac:dyDescent="0.2">
      <c r="B9" s="53" t="s">
        <v>210</v>
      </c>
      <c r="C9" s="112"/>
      <c r="D9" s="54" t="s">
        <v>200</v>
      </c>
      <c r="E9" s="55" t="s">
        <v>211</v>
      </c>
      <c r="F9" s="56" t="s">
        <v>212</v>
      </c>
      <c r="G9" s="56" t="s">
        <v>29</v>
      </c>
      <c r="H9" s="56"/>
      <c r="I9" s="57"/>
      <c r="J9" s="58"/>
      <c r="K9" s="59"/>
      <c r="L9" s="59"/>
      <c r="M9" s="59"/>
      <c r="N9" s="60"/>
      <c r="O9" s="58"/>
      <c r="P9" s="59"/>
      <c r="Q9" s="60"/>
      <c r="R9" s="61" t="s">
        <v>213</v>
      </c>
      <c r="S9" s="62"/>
    </row>
    <row r="10" spans="2:20" s="63" customFormat="1" ht="63.75" x14ac:dyDescent="0.2">
      <c r="B10" s="53" t="s">
        <v>214</v>
      </c>
      <c r="C10" s="112"/>
      <c r="D10" s="54" t="s">
        <v>200</v>
      </c>
      <c r="E10" s="55" t="s">
        <v>215</v>
      </c>
      <c r="F10" s="56" t="s">
        <v>216</v>
      </c>
      <c r="G10" s="56" t="s">
        <v>47</v>
      </c>
      <c r="H10" s="56"/>
      <c r="I10" s="57"/>
      <c r="J10" s="58"/>
      <c r="K10" s="59"/>
      <c r="L10" s="59"/>
      <c r="M10" s="59"/>
      <c r="N10" s="60" t="s">
        <v>203</v>
      </c>
      <c r="O10" s="58"/>
      <c r="P10" s="59"/>
      <c r="Q10" s="60"/>
      <c r="R10" s="61" t="s">
        <v>217</v>
      </c>
      <c r="S10" s="62"/>
    </row>
    <row r="11" spans="2:20" s="63" customFormat="1" ht="28.5" customHeight="1" x14ac:dyDescent="0.2">
      <c r="B11" s="53" t="s">
        <v>218</v>
      </c>
      <c r="C11" s="112"/>
      <c r="D11" s="54" t="s">
        <v>219</v>
      </c>
      <c r="E11" s="55" t="s">
        <v>220</v>
      </c>
      <c r="F11" s="56" t="s">
        <v>221</v>
      </c>
      <c r="G11" s="56" t="s">
        <v>29</v>
      </c>
      <c r="H11" s="56"/>
      <c r="I11" s="57"/>
      <c r="J11" s="58"/>
      <c r="K11" s="59"/>
      <c r="L11" s="59"/>
      <c r="M11" s="59"/>
      <c r="N11" s="60"/>
      <c r="O11" s="58"/>
      <c r="P11" s="59"/>
      <c r="Q11" s="60"/>
      <c r="R11" s="61" t="s">
        <v>222</v>
      </c>
      <c r="S11" s="62"/>
    </row>
    <row r="12" spans="2:20" s="63" customFormat="1" ht="29.25" customHeight="1" x14ac:dyDescent="0.2">
      <c r="B12" s="53" t="s">
        <v>223</v>
      </c>
      <c r="C12" s="112"/>
      <c r="D12" s="54" t="s">
        <v>219</v>
      </c>
      <c r="E12" s="55" t="s">
        <v>220</v>
      </c>
      <c r="F12" s="56" t="s">
        <v>224</v>
      </c>
      <c r="G12" s="56" t="s">
        <v>29</v>
      </c>
      <c r="H12" s="56"/>
      <c r="I12" s="57"/>
      <c r="J12" s="58"/>
      <c r="K12" s="59"/>
      <c r="L12" s="59"/>
      <c r="M12" s="59"/>
      <c r="N12" s="60"/>
      <c r="O12" s="58"/>
      <c r="P12" s="59"/>
      <c r="Q12" s="60"/>
      <c r="R12" s="61" t="s">
        <v>225</v>
      </c>
      <c r="S12" s="62"/>
    </row>
    <row r="13" spans="2:20" s="63" customFormat="1" ht="51" x14ac:dyDescent="0.2">
      <c r="B13" s="53" t="s">
        <v>226</v>
      </c>
      <c r="C13" s="112"/>
      <c r="D13" s="54" t="s">
        <v>219</v>
      </c>
      <c r="E13" s="55" t="s">
        <v>220</v>
      </c>
      <c r="F13" s="56" t="s">
        <v>227</v>
      </c>
      <c r="G13" s="56" t="s">
        <v>228</v>
      </c>
      <c r="H13" s="56"/>
      <c r="I13" s="57"/>
      <c r="J13" s="58"/>
      <c r="K13" s="59"/>
      <c r="L13" s="59"/>
      <c r="M13" s="59"/>
      <c r="N13" s="60"/>
      <c r="O13" s="58"/>
      <c r="P13" s="59"/>
      <c r="Q13" s="60"/>
      <c r="R13" s="61" t="s">
        <v>229</v>
      </c>
      <c r="S13" s="62"/>
    </row>
    <row r="14" spans="2:20" s="63" customFormat="1" ht="29.25" customHeight="1" x14ac:dyDescent="0.2">
      <c r="B14" s="53" t="s">
        <v>230</v>
      </c>
      <c r="C14" s="112"/>
      <c r="D14" s="54" t="s">
        <v>219</v>
      </c>
      <c r="E14" s="55" t="s">
        <v>220</v>
      </c>
      <c r="F14" s="56" t="s">
        <v>231</v>
      </c>
      <c r="G14" s="56" t="s">
        <v>232</v>
      </c>
      <c r="H14" s="56"/>
      <c r="I14" s="57"/>
      <c r="J14" s="58"/>
      <c r="K14" s="59"/>
      <c r="L14" s="59"/>
      <c r="M14" s="59"/>
      <c r="N14" s="60"/>
      <c r="O14" s="58"/>
      <c r="P14" s="59"/>
      <c r="Q14" s="60"/>
      <c r="R14" s="61" t="s">
        <v>233</v>
      </c>
      <c r="S14" s="62"/>
    </row>
    <row r="15" spans="2:20" s="63" customFormat="1" ht="47.25" customHeight="1" x14ac:dyDescent="0.2">
      <c r="B15" s="53" t="s">
        <v>234</v>
      </c>
      <c r="C15" s="112"/>
      <c r="D15" s="54" t="s">
        <v>219</v>
      </c>
      <c r="E15" s="55" t="s">
        <v>220</v>
      </c>
      <c r="F15" s="56" t="s">
        <v>235</v>
      </c>
      <c r="G15" s="56" t="s">
        <v>232</v>
      </c>
      <c r="H15" s="56"/>
      <c r="I15" s="57"/>
      <c r="J15" s="58"/>
      <c r="K15" s="59"/>
      <c r="L15" s="59"/>
      <c r="M15" s="59"/>
      <c r="N15" s="60"/>
      <c r="O15" s="58"/>
      <c r="P15" s="59"/>
      <c r="Q15" s="60"/>
      <c r="R15" s="61" t="s">
        <v>236</v>
      </c>
      <c r="S15" s="62"/>
    </row>
    <row r="16" spans="2:20" s="63" customFormat="1" ht="29.25" customHeight="1" x14ac:dyDescent="0.2">
      <c r="B16" s="53" t="s">
        <v>237</v>
      </c>
      <c r="C16" s="112"/>
      <c r="D16" s="54" t="s">
        <v>219</v>
      </c>
      <c r="E16" s="55" t="s">
        <v>220</v>
      </c>
      <c r="F16" s="56" t="s">
        <v>238</v>
      </c>
      <c r="G16" s="56" t="s">
        <v>232</v>
      </c>
      <c r="H16" s="56"/>
      <c r="I16" s="57" t="s">
        <v>239</v>
      </c>
      <c r="J16" s="58"/>
      <c r="K16" s="59"/>
      <c r="L16" s="59"/>
      <c r="M16" s="59"/>
      <c r="N16" s="60"/>
      <c r="O16" s="58"/>
      <c r="P16" s="59"/>
      <c r="Q16" s="60"/>
      <c r="R16" s="61" t="s">
        <v>240</v>
      </c>
      <c r="S16" s="62"/>
    </row>
    <row r="17" spans="2:19" s="63" customFormat="1" ht="43.5" customHeight="1" x14ac:dyDescent="0.2">
      <c r="B17" s="53" t="s">
        <v>241</v>
      </c>
      <c r="C17" s="112"/>
      <c r="D17" s="54" t="s">
        <v>219</v>
      </c>
      <c r="E17" s="55" t="s">
        <v>220</v>
      </c>
      <c r="F17" s="56" t="s">
        <v>242</v>
      </c>
      <c r="G17" s="56" t="s">
        <v>29</v>
      </c>
      <c r="H17" s="56"/>
      <c r="I17" s="57"/>
      <c r="J17" s="58"/>
      <c r="K17" s="59"/>
      <c r="L17" s="59"/>
      <c r="M17" s="59"/>
      <c r="N17" s="60"/>
      <c r="O17" s="58"/>
      <c r="P17" s="59"/>
      <c r="Q17" s="60"/>
      <c r="R17" s="61" t="s">
        <v>243</v>
      </c>
      <c r="S17" s="62"/>
    </row>
    <row r="18" spans="2:19" s="63" customFormat="1" ht="35.25" customHeight="1" x14ac:dyDescent="0.2">
      <c r="B18" s="53" t="s">
        <v>244</v>
      </c>
      <c r="C18" s="112"/>
      <c r="D18" s="54" t="s">
        <v>245</v>
      </c>
      <c r="E18" s="64" t="s">
        <v>246</v>
      </c>
      <c r="F18" s="56" t="s">
        <v>247</v>
      </c>
      <c r="G18" s="56" t="s">
        <v>106</v>
      </c>
      <c r="H18" s="56"/>
      <c r="I18" s="57"/>
      <c r="J18" s="58"/>
      <c r="K18" s="59"/>
      <c r="L18" s="59" t="str">
        <f>IF(OR(ISBLANK(J18),ISBLANK(K18)),"",VALUE(LEFT(J18,1)*VALUE(LEFT(K18,1))))</f>
        <v/>
      </c>
      <c r="M18" s="59"/>
      <c r="N18" s="60" t="str">
        <f>IF(OR(ISBLANK(J18),ISBLANK(K18),ISBLANK(M18)),"",L18*VLOOKUP(VALUE(LEFT(M18,1)),#REF!,2,0))</f>
        <v/>
      </c>
      <c r="O18" s="58"/>
      <c r="P18" s="59"/>
      <c r="Q18" s="60"/>
      <c r="R18" s="61" t="s">
        <v>248</v>
      </c>
      <c r="S18" s="62"/>
    </row>
    <row r="19" spans="2:19" s="63" customFormat="1" ht="18" customHeight="1" x14ac:dyDescent="0.2">
      <c r="B19" s="53" t="s">
        <v>249</v>
      </c>
      <c r="C19" s="112"/>
      <c r="D19" s="54" t="s">
        <v>245</v>
      </c>
      <c r="E19" s="55" t="s">
        <v>250</v>
      </c>
      <c r="F19" s="56" t="s">
        <v>251</v>
      </c>
      <c r="G19" s="56" t="s">
        <v>106</v>
      </c>
      <c r="H19" s="56"/>
      <c r="I19" s="57"/>
      <c r="J19" s="58"/>
      <c r="K19" s="59"/>
      <c r="L19" s="59" t="str">
        <f t="shared" ref="L19" si="0">IF(OR(ISBLANK(J19),ISBLANK(K19)),"",VALUE(LEFT(J19,1)*VALUE(LEFT(K19,1))))</f>
        <v/>
      </c>
      <c r="M19" s="59"/>
      <c r="N19" s="60" t="str">
        <f>IF(OR(ISBLANK(J19),ISBLANK(K19),ISBLANK(M19)),"",L19*VLOOKUP(VALUE(LEFT(M19,1)),#REF!,2,0))</f>
        <v/>
      </c>
      <c r="O19" s="58"/>
      <c r="P19" s="59"/>
      <c r="Q19" s="60"/>
      <c r="R19" s="61" t="s">
        <v>252</v>
      </c>
      <c r="S19" s="62"/>
    </row>
    <row r="20" spans="2:19" s="63" customFormat="1" ht="28.5" customHeight="1" x14ac:dyDescent="0.2">
      <c r="B20" s="53" t="s">
        <v>253</v>
      </c>
      <c r="C20" s="112"/>
      <c r="D20" s="54" t="s">
        <v>245</v>
      </c>
      <c r="E20" s="55" t="s">
        <v>254</v>
      </c>
      <c r="F20" s="56" t="s">
        <v>255</v>
      </c>
      <c r="G20" s="56" t="s">
        <v>106</v>
      </c>
      <c r="H20" s="56"/>
      <c r="I20" s="57"/>
      <c r="J20" s="58"/>
      <c r="K20" s="59"/>
      <c r="L20" s="59">
        <v>0</v>
      </c>
      <c r="M20" s="59" t="s">
        <v>256</v>
      </c>
      <c r="N20" s="60">
        <v>0</v>
      </c>
      <c r="O20" s="58"/>
      <c r="P20" s="59"/>
      <c r="Q20" s="60"/>
      <c r="R20" s="61" t="s">
        <v>257</v>
      </c>
      <c r="S20" s="62"/>
    </row>
    <row r="21" spans="2:19" s="63" customFormat="1" ht="30" customHeight="1" x14ac:dyDescent="0.2">
      <c r="B21" s="53" t="s">
        <v>258</v>
      </c>
      <c r="C21" s="112"/>
      <c r="D21" s="54" t="s">
        <v>245</v>
      </c>
      <c r="E21" s="55" t="s">
        <v>259</v>
      </c>
      <c r="F21" s="56" t="s">
        <v>260</v>
      </c>
      <c r="G21" s="56" t="s">
        <v>106</v>
      </c>
      <c r="H21" s="56"/>
      <c r="I21" s="57"/>
      <c r="J21" s="58"/>
      <c r="K21" s="59"/>
      <c r="L21" s="59"/>
      <c r="M21" s="59"/>
      <c r="N21" s="60"/>
      <c r="O21" s="58"/>
      <c r="P21" s="59"/>
      <c r="Q21" s="60"/>
      <c r="R21" s="61" t="s">
        <v>261</v>
      </c>
      <c r="S21" s="62"/>
    </row>
    <row r="22" spans="2:19" s="63" customFormat="1" ht="25.5" x14ac:dyDescent="0.2">
      <c r="B22" s="53" t="s">
        <v>262</v>
      </c>
      <c r="C22" s="112"/>
      <c r="D22" s="54" t="s">
        <v>263</v>
      </c>
      <c r="E22" s="55" t="s">
        <v>264</v>
      </c>
      <c r="F22" s="56" t="s">
        <v>265</v>
      </c>
      <c r="G22" s="56" t="s">
        <v>47</v>
      </c>
      <c r="H22" s="56"/>
      <c r="I22" s="57"/>
      <c r="J22" s="58"/>
      <c r="K22" s="59"/>
      <c r="L22" s="59"/>
      <c r="M22" s="59"/>
      <c r="N22" s="60"/>
      <c r="O22" s="58"/>
      <c r="P22" s="59"/>
      <c r="Q22" s="60"/>
      <c r="R22" s="61" t="s">
        <v>266</v>
      </c>
      <c r="S22" s="62"/>
    </row>
    <row r="23" spans="2:19" s="63" customFormat="1" ht="52.5" customHeight="1" x14ac:dyDescent="0.2">
      <c r="B23" s="53" t="s">
        <v>267</v>
      </c>
      <c r="C23" s="112"/>
      <c r="D23" s="54" t="s">
        <v>268</v>
      </c>
      <c r="E23" s="56" t="s">
        <v>269</v>
      </c>
      <c r="F23" s="56" t="s">
        <v>270</v>
      </c>
      <c r="G23" s="56" t="s">
        <v>106</v>
      </c>
      <c r="H23" s="56"/>
      <c r="I23" s="57"/>
      <c r="J23" s="58"/>
      <c r="K23" s="59"/>
      <c r="L23" s="59" t="s">
        <v>203</v>
      </c>
      <c r="M23" s="59"/>
      <c r="N23" s="60" t="s">
        <v>203</v>
      </c>
      <c r="O23" s="58"/>
      <c r="P23" s="59"/>
      <c r="Q23" s="60"/>
      <c r="R23" s="61" t="s">
        <v>271</v>
      </c>
      <c r="S23" s="62"/>
    </row>
    <row r="24" spans="2:19" s="63" customFormat="1" ht="36.75" customHeight="1" x14ac:dyDescent="0.2">
      <c r="B24" s="53" t="s">
        <v>272</v>
      </c>
      <c r="C24" s="112"/>
      <c r="D24" s="54" t="s">
        <v>268</v>
      </c>
      <c r="E24" s="56" t="s">
        <v>273</v>
      </c>
      <c r="F24" s="56" t="s">
        <v>274</v>
      </c>
      <c r="G24" s="56" t="s">
        <v>106</v>
      </c>
      <c r="H24" s="56"/>
      <c r="I24" s="57"/>
      <c r="J24" s="58"/>
      <c r="K24" s="59"/>
      <c r="L24" s="59" t="s">
        <v>203</v>
      </c>
      <c r="M24" s="59"/>
      <c r="N24" s="60" t="s">
        <v>203</v>
      </c>
      <c r="O24" s="58"/>
      <c r="P24" s="59"/>
      <c r="Q24" s="60"/>
      <c r="R24" s="61" t="s">
        <v>275</v>
      </c>
      <c r="S24" s="62"/>
    </row>
    <row r="25" spans="2:19" s="63" customFormat="1" ht="28.5" customHeight="1" x14ac:dyDescent="0.2">
      <c r="B25" s="53" t="s">
        <v>276</v>
      </c>
      <c r="C25" s="112"/>
      <c r="D25" s="54" t="s">
        <v>277</v>
      </c>
      <c r="E25" s="56" t="s">
        <v>278</v>
      </c>
      <c r="F25" s="56" t="s">
        <v>279</v>
      </c>
      <c r="G25" s="56" t="s">
        <v>47</v>
      </c>
      <c r="H25" s="56"/>
      <c r="I25" s="57"/>
      <c r="J25" s="58"/>
      <c r="K25" s="59"/>
      <c r="L25" s="59" t="s">
        <v>203</v>
      </c>
      <c r="M25" s="59"/>
      <c r="N25" s="60" t="s">
        <v>203</v>
      </c>
      <c r="O25" s="58"/>
      <c r="P25" s="59"/>
      <c r="Q25" s="60"/>
      <c r="R25" s="61" t="s">
        <v>280</v>
      </c>
      <c r="S25" s="62"/>
    </row>
    <row r="26" spans="2:19" s="63" customFormat="1" ht="63.75" x14ac:dyDescent="0.2">
      <c r="B26" s="53" t="s">
        <v>281</v>
      </c>
      <c r="C26" s="112"/>
      <c r="D26" s="54" t="s">
        <v>277</v>
      </c>
      <c r="E26" s="56" t="s">
        <v>282</v>
      </c>
      <c r="F26" s="56" t="s">
        <v>283</v>
      </c>
      <c r="G26" s="56" t="s">
        <v>106</v>
      </c>
      <c r="H26" s="56"/>
      <c r="I26" s="57"/>
      <c r="J26" s="58"/>
      <c r="K26" s="59"/>
      <c r="L26" s="59" t="s">
        <v>203</v>
      </c>
      <c r="M26" s="59"/>
      <c r="N26" s="60" t="s">
        <v>203</v>
      </c>
      <c r="O26" s="58"/>
      <c r="P26" s="59"/>
      <c r="Q26" s="60"/>
      <c r="R26" s="61" t="s">
        <v>284</v>
      </c>
      <c r="S26" s="62"/>
    </row>
    <row r="27" spans="2:19" s="63" customFormat="1" ht="35.25" customHeight="1" x14ac:dyDescent="0.2">
      <c r="B27" s="53" t="s">
        <v>285</v>
      </c>
      <c r="C27" s="112"/>
      <c r="D27" s="54" t="s">
        <v>277</v>
      </c>
      <c r="E27" s="56" t="s">
        <v>286</v>
      </c>
      <c r="F27" s="56" t="s">
        <v>287</v>
      </c>
      <c r="G27" s="56" t="s">
        <v>106</v>
      </c>
      <c r="H27" s="56"/>
      <c r="I27" s="57"/>
      <c r="J27" s="58"/>
      <c r="K27" s="59"/>
      <c r="L27" s="59"/>
      <c r="M27" s="59"/>
      <c r="N27" s="60"/>
      <c r="O27" s="58"/>
      <c r="P27" s="59"/>
      <c r="Q27" s="60"/>
      <c r="R27" s="61" t="s">
        <v>288</v>
      </c>
      <c r="S27" s="62"/>
    </row>
    <row r="28" spans="2:19" s="63" customFormat="1" ht="35.25" customHeight="1" x14ac:dyDescent="0.2">
      <c r="B28" s="53" t="s">
        <v>289</v>
      </c>
      <c r="C28" s="112"/>
      <c r="D28" s="54" t="s">
        <v>290</v>
      </c>
      <c r="E28" s="55" t="s">
        <v>291</v>
      </c>
      <c r="F28" s="56" t="s">
        <v>292</v>
      </c>
      <c r="G28" s="56" t="s">
        <v>106</v>
      </c>
      <c r="H28" s="56"/>
      <c r="I28" s="57"/>
      <c r="J28" s="58"/>
      <c r="K28" s="59"/>
      <c r="L28" s="59"/>
      <c r="M28" s="59"/>
      <c r="N28" s="60"/>
      <c r="O28" s="58"/>
      <c r="P28" s="59"/>
      <c r="Q28" s="60"/>
      <c r="R28" s="61" t="s">
        <v>293</v>
      </c>
      <c r="S28" s="62"/>
    </row>
    <row r="29" spans="2:19" s="63" customFormat="1" ht="71.25" customHeight="1" x14ac:dyDescent="0.2">
      <c r="B29" s="53" t="s">
        <v>294</v>
      </c>
      <c r="C29" s="112"/>
      <c r="D29" s="54" t="s">
        <v>295</v>
      </c>
      <c r="E29" s="56" t="s">
        <v>296</v>
      </c>
      <c r="F29" s="56" t="s">
        <v>297</v>
      </c>
      <c r="G29" s="56" t="s">
        <v>120</v>
      </c>
      <c r="H29" s="56"/>
      <c r="I29" s="57"/>
      <c r="J29" s="58"/>
      <c r="K29" s="59"/>
      <c r="L29" s="59" t="s">
        <v>203</v>
      </c>
      <c r="M29" s="59"/>
      <c r="N29" s="60" t="s">
        <v>203</v>
      </c>
      <c r="O29" s="58"/>
      <c r="P29" s="59"/>
      <c r="Q29" s="60"/>
      <c r="R29" s="61" t="s">
        <v>298</v>
      </c>
      <c r="S29" s="62"/>
    </row>
    <row r="30" spans="2:19" s="63" customFormat="1" ht="51" x14ac:dyDescent="0.2">
      <c r="B30" s="53" t="s">
        <v>299</v>
      </c>
      <c r="C30" s="112"/>
      <c r="D30" s="54" t="s">
        <v>295</v>
      </c>
      <c r="E30" s="56" t="s">
        <v>296</v>
      </c>
      <c r="F30" s="56" t="s">
        <v>300</v>
      </c>
      <c r="G30" s="56" t="s">
        <v>120</v>
      </c>
      <c r="H30" s="56"/>
      <c r="I30" s="57"/>
      <c r="J30" s="58"/>
      <c r="K30" s="59"/>
      <c r="L30" s="59" t="s">
        <v>203</v>
      </c>
      <c r="M30" s="59"/>
      <c r="N30" s="60" t="s">
        <v>203</v>
      </c>
      <c r="O30" s="58"/>
      <c r="P30" s="59"/>
      <c r="Q30" s="60"/>
      <c r="R30" s="61" t="s">
        <v>301</v>
      </c>
      <c r="S30" s="62"/>
    </row>
    <row r="31" spans="2:19" s="63" customFormat="1" ht="44.25" customHeight="1" x14ac:dyDescent="0.2">
      <c r="B31" s="53" t="s">
        <v>302</v>
      </c>
      <c r="C31" s="112"/>
      <c r="D31" s="54" t="s">
        <v>295</v>
      </c>
      <c r="E31" s="56" t="s">
        <v>303</v>
      </c>
      <c r="F31" s="56" t="s">
        <v>304</v>
      </c>
      <c r="G31" s="64" t="s">
        <v>305</v>
      </c>
      <c r="H31" s="56"/>
      <c r="I31" s="57"/>
      <c r="J31" s="58"/>
      <c r="K31" s="59"/>
      <c r="L31" s="59" t="s">
        <v>203</v>
      </c>
      <c r="M31" s="59"/>
      <c r="N31" s="60" t="s">
        <v>203</v>
      </c>
      <c r="O31" s="58"/>
      <c r="P31" s="59"/>
      <c r="Q31" s="60"/>
      <c r="R31" s="61" t="s">
        <v>306</v>
      </c>
      <c r="S31" s="62"/>
    </row>
    <row r="32" spans="2:19" s="63" customFormat="1" ht="81" customHeight="1" x14ac:dyDescent="0.2">
      <c r="B32" s="53" t="s">
        <v>307</v>
      </c>
      <c r="C32" s="112"/>
      <c r="D32" s="54" t="s">
        <v>295</v>
      </c>
      <c r="E32" s="56" t="s">
        <v>303</v>
      </c>
      <c r="F32" s="56" t="s">
        <v>308</v>
      </c>
      <c r="G32" s="64" t="s">
        <v>309</v>
      </c>
      <c r="H32" s="56"/>
      <c r="I32" s="57"/>
      <c r="J32" s="58"/>
      <c r="K32" s="59"/>
      <c r="L32" s="59" t="s">
        <v>203</v>
      </c>
      <c r="M32" s="59"/>
      <c r="N32" s="60" t="s">
        <v>203</v>
      </c>
      <c r="O32" s="58"/>
      <c r="P32" s="59"/>
      <c r="Q32" s="60"/>
      <c r="R32" s="61" t="s">
        <v>310</v>
      </c>
      <c r="S32" s="62"/>
    </row>
    <row r="33" spans="2:19" s="63" customFormat="1" ht="22.5" customHeight="1" x14ac:dyDescent="0.2">
      <c r="B33" s="53" t="s">
        <v>311</v>
      </c>
      <c r="C33" s="112"/>
      <c r="D33" s="54" t="s">
        <v>295</v>
      </c>
      <c r="E33" s="56" t="s">
        <v>303</v>
      </c>
      <c r="F33" s="56" t="s">
        <v>312</v>
      </c>
      <c r="G33" s="64" t="s">
        <v>313</v>
      </c>
      <c r="H33" s="56"/>
      <c r="I33" s="57"/>
      <c r="J33" s="58"/>
      <c r="K33" s="59"/>
      <c r="L33" s="59" t="s">
        <v>203</v>
      </c>
      <c r="M33" s="59"/>
      <c r="N33" s="60" t="s">
        <v>203</v>
      </c>
      <c r="O33" s="58"/>
      <c r="P33" s="59"/>
      <c r="Q33" s="60"/>
      <c r="R33" s="61" t="s">
        <v>314</v>
      </c>
      <c r="S33" s="62"/>
    </row>
    <row r="34" spans="2:19" s="63" customFormat="1" ht="39.75" customHeight="1" x14ac:dyDescent="0.2">
      <c r="B34" s="53" t="s">
        <v>315</v>
      </c>
      <c r="C34" s="112"/>
      <c r="D34" s="54" t="s">
        <v>295</v>
      </c>
      <c r="E34" s="56" t="s">
        <v>303</v>
      </c>
      <c r="F34" s="56" t="s">
        <v>316</v>
      </c>
      <c r="G34" s="56" t="s">
        <v>305</v>
      </c>
      <c r="H34" s="56"/>
      <c r="I34" s="57"/>
      <c r="J34" s="58"/>
      <c r="K34" s="59"/>
      <c r="L34" s="59"/>
      <c r="M34" s="59"/>
      <c r="N34" s="60"/>
      <c r="O34" s="58"/>
      <c r="P34" s="59"/>
      <c r="Q34" s="60"/>
      <c r="R34" s="61" t="s">
        <v>317</v>
      </c>
      <c r="S34" s="62"/>
    </row>
    <row r="35" spans="2:19" s="63" customFormat="1" ht="39.75" customHeight="1" x14ac:dyDescent="0.2">
      <c r="B35" s="53" t="s">
        <v>318</v>
      </c>
      <c r="C35" s="112"/>
      <c r="D35" s="54" t="s">
        <v>295</v>
      </c>
      <c r="E35" s="56" t="s">
        <v>303</v>
      </c>
      <c r="F35" s="56" t="s">
        <v>319</v>
      </c>
      <c r="G35" s="56" t="s">
        <v>228</v>
      </c>
      <c r="H35" s="56"/>
      <c r="I35" s="57"/>
      <c r="J35" s="58"/>
      <c r="K35" s="59"/>
      <c r="L35" s="59" t="s">
        <v>203</v>
      </c>
      <c r="M35" s="59"/>
      <c r="N35" s="60" t="s">
        <v>203</v>
      </c>
      <c r="O35" s="58"/>
      <c r="P35" s="59"/>
      <c r="Q35" s="60"/>
      <c r="R35" s="61" t="s">
        <v>320</v>
      </c>
      <c r="S35" s="62"/>
    </row>
    <row r="36" spans="2:19" s="63" customFormat="1" ht="39.75" customHeight="1" x14ac:dyDescent="0.2">
      <c r="B36" s="53" t="s">
        <v>321</v>
      </c>
      <c r="C36" s="112"/>
      <c r="D36" s="54" t="s">
        <v>295</v>
      </c>
      <c r="E36" s="56" t="s">
        <v>322</v>
      </c>
      <c r="F36" s="56" t="s">
        <v>323</v>
      </c>
      <c r="G36" s="56" t="s">
        <v>123</v>
      </c>
      <c r="H36" s="56"/>
      <c r="I36" s="57"/>
      <c r="J36" s="58"/>
      <c r="K36" s="59"/>
      <c r="L36" s="59" t="s">
        <v>203</v>
      </c>
      <c r="M36" s="59"/>
      <c r="N36" s="60" t="s">
        <v>203</v>
      </c>
      <c r="O36" s="58"/>
      <c r="P36" s="59"/>
      <c r="Q36" s="60"/>
      <c r="R36" s="61" t="s">
        <v>324</v>
      </c>
      <c r="S36" s="62"/>
    </row>
    <row r="37" spans="2:19" s="63" customFormat="1" ht="39.75" customHeight="1" x14ac:dyDescent="0.2">
      <c r="B37" s="53" t="s">
        <v>325</v>
      </c>
      <c r="C37" s="112"/>
      <c r="D37" s="54" t="s">
        <v>295</v>
      </c>
      <c r="E37" s="56" t="s">
        <v>322</v>
      </c>
      <c r="F37" s="56" t="s">
        <v>326</v>
      </c>
      <c r="G37" s="56" t="s">
        <v>123</v>
      </c>
      <c r="H37" s="56"/>
      <c r="I37" s="57"/>
      <c r="J37" s="58"/>
      <c r="K37" s="59"/>
      <c r="L37" s="59" t="s">
        <v>203</v>
      </c>
      <c r="M37" s="59"/>
      <c r="N37" s="60" t="s">
        <v>203</v>
      </c>
      <c r="O37" s="58"/>
      <c r="P37" s="59"/>
      <c r="Q37" s="60"/>
      <c r="R37" s="61" t="s">
        <v>324</v>
      </c>
      <c r="S37" s="62"/>
    </row>
    <row r="38" spans="2:19" s="63" customFormat="1" ht="39.75" customHeight="1" x14ac:dyDescent="0.2">
      <c r="B38" s="53" t="s">
        <v>327</v>
      </c>
      <c r="C38" s="112"/>
      <c r="D38" s="54" t="s">
        <v>295</v>
      </c>
      <c r="E38" s="56" t="s">
        <v>322</v>
      </c>
      <c r="F38" s="56" t="s">
        <v>328</v>
      </c>
      <c r="G38" s="56" t="s">
        <v>123</v>
      </c>
      <c r="H38" s="56"/>
      <c r="I38" s="57"/>
      <c r="J38" s="58"/>
      <c r="K38" s="59"/>
      <c r="L38" s="59" t="s">
        <v>203</v>
      </c>
      <c r="M38" s="59"/>
      <c r="N38" s="60" t="s">
        <v>203</v>
      </c>
      <c r="O38" s="58"/>
      <c r="P38" s="59"/>
      <c r="Q38" s="60"/>
      <c r="R38" s="61" t="s">
        <v>329</v>
      </c>
      <c r="S38" s="62"/>
    </row>
    <row r="39" spans="2:19" s="63" customFormat="1" ht="39.75" customHeight="1" x14ac:dyDescent="0.2">
      <c r="B39" s="53" t="s">
        <v>330</v>
      </c>
      <c r="C39" s="112"/>
      <c r="D39" s="54" t="s">
        <v>295</v>
      </c>
      <c r="E39" s="56" t="s">
        <v>322</v>
      </c>
      <c r="F39" s="56" t="s">
        <v>331</v>
      </c>
      <c r="G39" s="56" t="s">
        <v>123</v>
      </c>
      <c r="H39" s="56"/>
      <c r="I39" s="57"/>
      <c r="J39" s="58"/>
      <c r="K39" s="59"/>
      <c r="L39" s="59" t="s">
        <v>203</v>
      </c>
      <c r="M39" s="59"/>
      <c r="N39" s="60" t="s">
        <v>203</v>
      </c>
      <c r="O39" s="58"/>
      <c r="P39" s="59"/>
      <c r="Q39" s="60"/>
      <c r="R39" s="61" t="s">
        <v>332</v>
      </c>
      <c r="S39" s="62"/>
    </row>
    <row r="40" spans="2:19" s="63" customFormat="1" ht="73.5" customHeight="1" x14ac:dyDescent="0.2">
      <c r="B40" s="53" t="s">
        <v>333</v>
      </c>
      <c r="C40" s="112"/>
      <c r="D40" s="54" t="s">
        <v>295</v>
      </c>
      <c r="E40" s="56" t="s">
        <v>322</v>
      </c>
      <c r="F40" s="56" t="s">
        <v>334</v>
      </c>
      <c r="G40" s="56" t="s">
        <v>123</v>
      </c>
      <c r="H40" s="56"/>
      <c r="I40" s="57"/>
      <c r="J40" s="58"/>
      <c r="K40" s="59"/>
      <c r="L40" s="59" t="s">
        <v>203</v>
      </c>
      <c r="M40" s="59"/>
      <c r="N40" s="60" t="s">
        <v>203</v>
      </c>
      <c r="O40" s="58"/>
      <c r="P40" s="59"/>
      <c r="Q40" s="60"/>
      <c r="R40" s="61" t="s">
        <v>335</v>
      </c>
      <c r="S40" s="62"/>
    </row>
    <row r="41" spans="2:19" s="63" customFormat="1" ht="39.75" customHeight="1" x14ac:dyDescent="0.2">
      <c r="B41" s="53" t="s">
        <v>336</v>
      </c>
      <c r="C41" s="112"/>
      <c r="D41" s="54" t="s">
        <v>295</v>
      </c>
      <c r="E41" s="56" t="s">
        <v>337</v>
      </c>
      <c r="F41" s="56" t="s">
        <v>338</v>
      </c>
      <c r="G41" s="56" t="s">
        <v>123</v>
      </c>
      <c r="H41" s="56"/>
      <c r="I41" s="57"/>
      <c r="J41" s="58"/>
      <c r="K41" s="59"/>
      <c r="L41" s="59" t="s">
        <v>203</v>
      </c>
      <c r="M41" s="59"/>
      <c r="N41" s="60" t="s">
        <v>203</v>
      </c>
      <c r="O41" s="58"/>
      <c r="P41" s="59"/>
      <c r="Q41" s="60"/>
      <c r="R41" s="61" t="s">
        <v>339</v>
      </c>
      <c r="S41" s="62"/>
    </row>
    <row r="42" spans="2:19" s="63" customFormat="1" ht="60" customHeight="1" x14ac:dyDescent="0.2">
      <c r="B42" s="53" t="s">
        <v>340</v>
      </c>
      <c r="C42" s="112"/>
      <c r="D42" s="54" t="s">
        <v>295</v>
      </c>
      <c r="E42" s="56" t="s">
        <v>337</v>
      </c>
      <c r="F42" s="56" t="s">
        <v>341</v>
      </c>
      <c r="G42" s="64" t="s">
        <v>305</v>
      </c>
      <c r="H42" s="56"/>
      <c r="I42" s="57"/>
      <c r="J42" s="58"/>
      <c r="K42" s="59"/>
      <c r="L42" s="59"/>
      <c r="M42" s="59"/>
      <c r="N42" s="60"/>
      <c r="O42" s="58"/>
      <c r="P42" s="59"/>
      <c r="Q42" s="60"/>
      <c r="R42" s="61" t="s">
        <v>342</v>
      </c>
      <c r="S42" s="62"/>
    </row>
    <row r="43" spans="2:19" s="63" customFormat="1" ht="58.5" customHeight="1" x14ac:dyDescent="0.2">
      <c r="B43" s="53" t="s">
        <v>343</v>
      </c>
      <c r="C43" s="112"/>
      <c r="D43" s="54" t="s">
        <v>295</v>
      </c>
      <c r="E43" s="56" t="s">
        <v>337</v>
      </c>
      <c r="F43" s="56" t="s">
        <v>344</v>
      </c>
      <c r="G43" s="56" t="s">
        <v>345</v>
      </c>
      <c r="H43" s="56"/>
      <c r="I43" s="57"/>
      <c r="J43" s="58"/>
      <c r="K43" s="59"/>
      <c r="L43" s="59"/>
      <c r="M43" s="59"/>
      <c r="N43" s="60"/>
      <c r="O43" s="58"/>
      <c r="P43" s="59"/>
      <c r="Q43" s="60"/>
      <c r="R43" s="61" t="s">
        <v>346</v>
      </c>
      <c r="S43" s="62"/>
    </row>
    <row r="44" spans="2:19" s="63" customFormat="1" ht="39.75" customHeight="1" x14ac:dyDescent="0.2">
      <c r="B44" s="53" t="s">
        <v>347</v>
      </c>
      <c r="C44" s="112"/>
      <c r="D44" s="54" t="s">
        <v>295</v>
      </c>
      <c r="E44" s="56" t="s">
        <v>337</v>
      </c>
      <c r="F44" s="56" t="s">
        <v>348</v>
      </c>
      <c r="G44" s="56" t="s">
        <v>123</v>
      </c>
      <c r="H44" s="56"/>
      <c r="I44" s="57"/>
      <c r="J44" s="58"/>
      <c r="K44" s="59"/>
      <c r="L44" s="59"/>
      <c r="M44" s="59"/>
      <c r="N44" s="60"/>
      <c r="O44" s="58"/>
      <c r="P44" s="59"/>
      <c r="Q44" s="60"/>
      <c r="R44" s="61" t="s">
        <v>349</v>
      </c>
      <c r="S44" s="62"/>
    </row>
    <row r="45" spans="2:19" s="63" customFormat="1" ht="57" customHeight="1" x14ac:dyDescent="0.2">
      <c r="B45" s="53" t="s">
        <v>350</v>
      </c>
      <c r="C45" s="112"/>
      <c r="D45" s="54" t="s">
        <v>295</v>
      </c>
      <c r="E45" s="56" t="s">
        <v>351</v>
      </c>
      <c r="F45" s="56" t="s">
        <v>352</v>
      </c>
      <c r="G45" s="64" t="s">
        <v>305</v>
      </c>
      <c r="H45" s="56"/>
      <c r="I45" s="57"/>
      <c r="J45" s="58"/>
      <c r="K45" s="59"/>
      <c r="L45" s="59"/>
      <c r="M45" s="59"/>
      <c r="N45" s="60"/>
      <c r="O45" s="58"/>
      <c r="P45" s="59"/>
      <c r="Q45" s="60"/>
      <c r="R45" s="61" t="s">
        <v>353</v>
      </c>
      <c r="S45" s="62"/>
    </row>
    <row r="46" spans="2:19" s="63" customFormat="1" ht="63.75" customHeight="1" x14ac:dyDescent="0.2">
      <c r="B46" s="53" t="s">
        <v>354</v>
      </c>
      <c r="C46" s="112"/>
      <c r="D46" s="54" t="s">
        <v>295</v>
      </c>
      <c r="E46" s="56" t="s">
        <v>351</v>
      </c>
      <c r="F46" s="56" t="s">
        <v>355</v>
      </c>
      <c r="G46" s="56" t="s">
        <v>47</v>
      </c>
      <c r="H46" s="56"/>
      <c r="I46" s="57"/>
      <c r="J46" s="58"/>
      <c r="K46" s="59"/>
      <c r="L46" s="59"/>
      <c r="M46" s="59"/>
      <c r="N46" s="60"/>
      <c r="O46" s="58"/>
      <c r="P46" s="59"/>
      <c r="Q46" s="60"/>
      <c r="R46" s="61" t="s">
        <v>356</v>
      </c>
      <c r="S46" s="62"/>
    </row>
    <row r="47" spans="2:19" s="63" customFormat="1" ht="59.25" customHeight="1" x14ac:dyDescent="0.2">
      <c r="B47" s="53" t="s">
        <v>357</v>
      </c>
      <c r="C47" s="112"/>
      <c r="D47" s="54" t="s">
        <v>295</v>
      </c>
      <c r="E47" s="56" t="s">
        <v>351</v>
      </c>
      <c r="F47" s="56" t="s">
        <v>358</v>
      </c>
      <c r="G47" s="56" t="s">
        <v>47</v>
      </c>
      <c r="H47" s="56"/>
      <c r="I47" s="57"/>
      <c r="J47" s="58"/>
      <c r="K47" s="59"/>
      <c r="L47" s="59"/>
      <c r="M47" s="59"/>
      <c r="N47" s="60"/>
      <c r="O47" s="58"/>
      <c r="P47" s="59"/>
      <c r="Q47" s="60"/>
      <c r="R47" s="61" t="s">
        <v>359</v>
      </c>
      <c r="S47" s="62"/>
    </row>
    <row r="48" spans="2:19" s="63" customFormat="1" ht="71.25" customHeight="1" x14ac:dyDescent="0.2">
      <c r="B48" s="53" t="s">
        <v>360</v>
      </c>
      <c r="C48" s="112"/>
      <c r="D48" s="54" t="s">
        <v>295</v>
      </c>
      <c r="E48" s="56" t="s">
        <v>351</v>
      </c>
      <c r="F48" s="56" t="s">
        <v>361</v>
      </c>
      <c r="G48" s="56" t="s">
        <v>345</v>
      </c>
      <c r="H48" s="56"/>
      <c r="I48" s="57"/>
      <c r="J48" s="58"/>
      <c r="K48" s="59"/>
      <c r="L48" s="59"/>
      <c r="M48" s="59"/>
      <c r="N48" s="60"/>
      <c r="O48" s="58"/>
      <c r="P48" s="59"/>
      <c r="Q48" s="60"/>
      <c r="R48" s="61" t="s">
        <v>362</v>
      </c>
      <c r="S48" s="62"/>
    </row>
    <row r="49" spans="2:19" s="63" customFormat="1" ht="54" customHeight="1" x14ac:dyDescent="0.2">
      <c r="B49" s="53" t="s">
        <v>363</v>
      </c>
      <c r="C49" s="112"/>
      <c r="D49" s="54" t="s">
        <v>295</v>
      </c>
      <c r="E49" s="56" t="s">
        <v>351</v>
      </c>
      <c r="F49" s="56" t="s">
        <v>364</v>
      </c>
      <c r="G49" s="56" t="s">
        <v>120</v>
      </c>
      <c r="H49" s="56"/>
      <c r="I49" s="57"/>
      <c r="J49" s="58"/>
      <c r="K49" s="59"/>
      <c r="L49" s="59"/>
      <c r="M49" s="59"/>
      <c r="N49" s="60"/>
      <c r="O49" s="58"/>
      <c r="P49" s="59"/>
      <c r="Q49" s="60"/>
      <c r="R49" s="61" t="s">
        <v>365</v>
      </c>
      <c r="S49" s="62"/>
    </row>
    <row r="50" spans="2:19" s="63" customFormat="1" ht="39.75" customHeight="1" x14ac:dyDescent="0.2">
      <c r="B50" s="53" t="s">
        <v>366</v>
      </c>
      <c r="C50" s="112"/>
      <c r="D50" s="54" t="s">
        <v>295</v>
      </c>
      <c r="E50" s="56" t="s">
        <v>351</v>
      </c>
      <c r="F50" s="56" t="s">
        <v>367</v>
      </c>
      <c r="G50" s="56" t="s">
        <v>106</v>
      </c>
      <c r="H50" s="56"/>
      <c r="I50" s="57"/>
      <c r="J50" s="58"/>
      <c r="K50" s="59"/>
      <c r="L50" s="59"/>
      <c r="M50" s="59"/>
      <c r="N50" s="60"/>
      <c r="O50" s="58"/>
      <c r="P50" s="59"/>
      <c r="Q50" s="60"/>
      <c r="R50" s="61" t="s">
        <v>368</v>
      </c>
      <c r="S50" s="62"/>
    </row>
    <row r="51" spans="2:19" s="63" customFormat="1" ht="39.75" customHeight="1" x14ac:dyDescent="0.2">
      <c r="B51" s="53" t="s">
        <v>369</v>
      </c>
      <c r="C51" s="112"/>
      <c r="D51" s="54" t="s">
        <v>295</v>
      </c>
      <c r="E51" s="56" t="s">
        <v>351</v>
      </c>
      <c r="F51" s="56" t="s">
        <v>370</v>
      </c>
      <c r="G51" s="56" t="s">
        <v>106</v>
      </c>
      <c r="H51" s="56"/>
      <c r="I51" s="57"/>
      <c r="J51" s="58"/>
      <c r="K51" s="59"/>
      <c r="L51" s="59"/>
      <c r="M51" s="59"/>
      <c r="N51" s="60"/>
      <c r="O51" s="58"/>
      <c r="P51" s="59"/>
      <c r="Q51" s="60"/>
      <c r="R51" s="61" t="s">
        <v>371</v>
      </c>
      <c r="S51" s="62"/>
    </row>
    <row r="52" spans="2:19" s="63" customFormat="1" ht="50.25" customHeight="1" thickBot="1" x14ac:dyDescent="0.25">
      <c r="B52" s="65" t="s">
        <v>372</v>
      </c>
      <c r="C52" s="113"/>
      <c r="D52" s="54" t="s">
        <v>295</v>
      </c>
      <c r="E52" s="56" t="s">
        <v>351</v>
      </c>
      <c r="F52" s="56" t="s">
        <v>373</v>
      </c>
      <c r="G52" s="56" t="s">
        <v>106</v>
      </c>
      <c r="H52" s="56"/>
      <c r="I52" s="57"/>
      <c r="J52" s="58"/>
      <c r="K52" s="59"/>
      <c r="L52" s="59"/>
      <c r="M52" s="59"/>
      <c r="N52" s="60"/>
      <c r="O52" s="58"/>
      <c r="P52" s="59"/>
      <c r="Q52" s="60"/>
      <c r="R52" s="61" t="s">
        <v>374</v>
      </c>
      <c r="S52" s="62"/>
    </row>
    <row r="53" spans="2:19" s="67" customFormat="1" ht="39" thickBot="1" x14ac:dyDescent="0.25">
      <c r="B53" s="65" t="s">
        <v>375</v>
      </c>
      <c r="C53" s="113"/>
      <c r="D53" s="54" t="s">
        <v>295</v>
      </c>
      <c r="E53" s="56" t="s">
        <v>351</v>
      </c>
      <c r="F53" s="56" t="s">
        <v>376</v>
      </c>
      <c r="G53" s="56" t="s">
        <v>120</v>
      </c>
      <c r="H53" s="56"/>
      <c r="I53" s="57"/>
      <c r="J53" s="58"/>
      <c r="K53" s="59"/>
      <c r="L53" s="59"/>
      <c r="M53" s="59"/>
      <c r="N53" s="60"/>
      <c r="O53" s="58"/>
      <c r="P53" s="59"/>
      <c r="Q53" s="60"/>
      <c r="R53" s="61" t="s">
        <v>377</v>
      </c>
      <c r="S53" s="66"/>
    </row>
    <row r="54" spans="2:19" s="67" customFormat="1" x14ac:dyDescent="0.2">
      <c r="B54" s="68"/>
      <c r="C54" s="68"/>
      <c r="F54" s="68"/>
    </row>
    <row r="55" spans="2:19" s="67" customFormat="1" x14ac:dyDescent="0.2">
      <c r="B55" s="68"/>
      <c r="C55" s="68"/>
      <c r="F55" s="68"/>
    </row>
    <row r="56" spans="2:19" s="67" customFormat="1" x14ac:dyDescent="0.2">
      <c r="B56" s="68"/>
      <c r="C56" s="68"/>
      <c r="F56" s="68"/>
    </row>
    <row r="57" spans="2:19" s="67" customFormat="1" x14ac:dyDescent="0.2">
      <c r="B57" s="68"/>
      <c r="C57" s="68"/>
      <c r="F57" s="68"/>
    </row>
    <row r="58" spans="2:19" s="67" customFormat="1" x14ac:dyDescent="0.2">
      <c r="B58" s="68"/>
      <c r="C58" s="68"/>
      <c r="F58" s="68"/>
    </row>
    <row r="59" spans="2:19" s="67" customFormat="1" x14ac:dyDescent="0.2">
      <c r="B59" s="68"/>
      <c r="C59" s="68"/>
      <c r="F59" s="68"/>
    </row>
    <row r="60" spans="2:19" s="67" customFormat="1" x14ac:dyDescent="0.2">
      <c r="B60" s="68"/>
      <c r="C60" s="68"/>
      <c r="F60" s="68"/>
    </row>
    <row r="61" spans="2:19" s="67" customFormat="1" x14ac:dyDescent="0.2">
      <c r="B61" s="68"/>
      <c r="C61" s="68"/>
      <c r="F61" s="68"/>
      <c r="G61" s="114"/>
    </row>
    <row r="62" spans="2:19" s="67" customFormat="1" x14ac:dyDescent="0.2">
      <c r="B62" s="68"/>
      <c r="C62" s="68"/>
      <c r="F62" s="68"/>
    </row>
    <row r="63" spans="2:19" s="67" customFormat="1" x14ac:dyDescent="0.2">
      <c r="B63" s="68"/>
      <c r="C63" s="68"/>
      <c r="F63" s="68"/>
    </row>
    <row r="64" spans="2:19" s="67" customFormat="1" x14ac:dyDescent="0.2">
      <c r="B64" s="68"/>
      <c r="C64" s="68"/>
      <c r="F64" s="68"/>
    </row>
    <row r="65" spans="2:6" s="67" customFormat="1" x14ac:dyDescent="0.2">
      <c r="B65" s="68"/>
      <c r="C65" s="68"/>
      <c r="F65" s="68"/>
    </row>
    <row r="66" spans="2:6" s="67" customFormat="1" x14ac:dyDescent="0.2">
      <c r="B66" s="68"/>
      <c r="C66" s="68"/>
      <c r="F66" s="68"/>
    </row>
    <row r="67" spans="2:6" s="67" customFormat="1" x14ac:dyDescent="0.2">
      <c r="B67" s="68"/>
      <c r="C67" s="68"/>
      <c r="F67" s="68"/>
    </row>
    <row r="68" spans="2:6" s="67" customFormat="1" x14ac:dyDescent="0.2">
      <c r="B68" s="68"/>
      <c r="C68" s="68"/>
      <c r="F68" s="68"/>
    </row>
    <row r="69" spans="2:6" s="67" customFormat="1" x14ac:dyDescent="0.2">
      <c r="B69" s="68"/>
      <c r="C69" s="68"/>
      <c r="F69" s="68"/>
    </row>
  </sheetData>
  <autoFilter ref="B6:S53" xr:uid="{00000000-0009-0000-0000-000006000000}"/>
  <dataConsolidate/>
  <pageMargins left="0.23622047244094491" right="0.23622047244094491" top="0.74803149606299213" bottom="0.74803149606299213" header="0.31496062992125984" footer="0.31496062992125984"/>
  <pageSetup paperSize="8" scale="63" fitToHeight="0"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'\\10.0.0.19\Sdileni\06 EKO\NOVA STRUKTURA DISKU EKO\02-PRACOVNÍ SLOŽKY\SL\Risk Management Tools\Identification\[Katalog_rizik.xlsx]Data sheet'!#REF!</xm:f>
          </x14:formula1>
          <xm:sqref>J7:K52 D7:D52 M7:M52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fitToPage="1"/>
  </sheetPr>
  <dimension ref="A1:T52"/>
  <sheetViews>
    <sheetView showGridLines="0" topLeftCell="A10" zoomScaleSheetLayoutView="75" workbookViewId="0">
      <selection activeCell="E45" sqref="E45"/>
    </sheetView>
  </sheetViews>
  <sheetFormatPr defaultColWidth="8.85546875" defaultRowHeight="12.75" x14ac:dyDescent="0.2"/>
  <cols>
    <col min="1" max="1" width="8.85546875" style="9"/>
    <col min="2" max="2" width="12.140625" style="6" customWidth="1"/>
    <col min="3" max="3" width="15" style="6" customWidth="1"/>
    <col min="4" max="4" width="11.85546875" style="6" customWidth="1"/>
    <col min="5" max="5" width="9.5703125" style="6" customWidth="1"/>
    <col min="6" max="6" width="8.85546875" style="21"/>
    <col min="7" max="7" width="26.5703125" style="6" customWidth="1"/>
    <col min="8" max="10" width="8.85546875" style="6"/>
    <col min="11" max="11" width="37.140625" style="6" customWidth="1"/>
    <col min="12" max="13" width="8.85546875" style="6"/>
    <col min="14" max="15" width="8.85546875" style="9"/>
    <col min="16" max="16" width="15" style="21" customWidth="1"/>
    <col min="17" max="17" width="19.140625" style="21" customWidth="1"/>
    <col min="18" max="18" width="12.85546875" style="21" customWidth="1"/>
    <col min="19" max="19" width="12" style="21" customWidth="1"/>
    <col min="20" max="20" width="13.140625" style="6" customWidth="1"/>
    <col min="21" max="16384" width="8.85546875" style="6"/>
  </cols>
  <sheetData>
    <row r="1" spans="1:20" x14ac:dyDescent="0.2">
      <c r="B1" s="1"/>
      <c r="C1" s="1"/>
      <c r="D1" s="1"/>
      <c r="E1" s="1"/>
    </row>
    <row r="2" spans="1:20" x14ac:dyDescent="0.2">
      <c r="A2" s="10"/>
      <c r="B2" s="11" t="s">
        <v>378</v>
      </c>
      <c r="C2" s="11"/>
      <c r="F2" s="24"/>
      <c r="G2" s="12"/>
      <c r="H2" s="12"/>
      <c r="I2" s="12"/>
      <c r="J2" s="12"/>
      <c r="K2" s="12"/>
      <c r="L2" s="12"/>
      <c r="M2" s="12"/>
      <c r="N2" s="13"/>
      <c r="O2" s="13"/>
      <c r="P2" s="22"/>
      <c r="Q2" s="22"/>
      <c r="R2" s="22"/>
      <c r="S2" s="22"/>
      <c r="T2" s="12"/>
    </row>
    <row r="3" spans="1:20" x14ac:dyDescent="0.2">
      <c r="A3" s="13"/>
      <c r="B3" s="14" t="s">
        <v>379</v>
      </c>
      <c r="C3" s="15" t="s">
        <v>380</v>
      </c>
      <c r="F3" s="24"/>
      <c r="G3" s="12"/>
      <c r="H3" s="12"/>
      <c r="I3" s="12"/>
      <c r="J3" s="12"/>
      <c r="K3" s="11" t="s">
        <v>381</v>
      </c>
      <c r="L3" s="37">
        <v>0</v>
      </c>
      <c r="M3" s="12"/>
      <c r="N3" s="13"/>
      <c r="O3" s="13"/>
      <c r="P3" s="22"/>
      <c r="Q3" s="22"/>
      <c r="R3" s="22"/>
      <c r="S3" s="22"/>
      <c r="T3" s="12"/>
    </row>
    <row r="4" spans="1:20" ht="12.75" customHeight="1" x14ac:dyDescent="0.2">
      <c r="A4" s="13"/>
      <c r="B4" s="14" t="s">
        <v>382</v>
      </c>
      <c r="C4" s="15">
        <v>2016</v>
      </c>
      <c r="D4" s="14"/>
      <c r="E4" s="14"/>
      <c r="F4" s="24"/>
      <c r="G4" s="12"/>
      <c r="H4" s="12"/>
      <c r="I4" s="12"/>
      <c r="J4" s="12"/>
      <c r="K4" s="14" t="s">
        <v>383</v>
      </c>
      <c r="L4" s="38">
        <v>0</v>
      </c>
      <c r="M4" s="12"/>
      <c r="N4" s="13"/>
      <c r="O4" s="13"/>
      <c r="P4" s="22"/>
      <c r="Q4" s="22"/>
      <c r="R4" s="22"/>
      <c r="S4" s="22"/>
      <c r="T4" s="12"/>
    </row>
    <row r="5" spans="1:20" ht="25.5" customHeight="1" x14ac:dyDescent="0.2">
      <c r="A5" s="13"/>
      <c r="B5" s="14"/>
      <c r="C5" s="15"/>
      <c r="D5" s="14"/>
      <c r="E5" s="14"/>
      <c r="F5" s="24"/>
      <c r="G5" s="12"/>
      <c r="H5" s="12"/>
      <c r="I5" s="12"/>
      <c r="J5" s="12"/>
      <c r="K5" s="12"/>
      <c r="L5" s="12"/>
      <c r="M5" s="12"/>
      <c r="N5" s="13"/>
      <c r="O5" s="13"/>
      <c r="P5" s="22"/>
      <c r="Q5" s="22"/>
      <c r="R5" s="22"/>
      <c r="S5" s="22"/>
      <c r="T5" s="12"/>
    </row>
    <row r="6" spans="1:20" ht="82.5" customHeight="1" thickBot="1" x14ac:dyDescent="0.25">
      <c r="A6" s="157" t="s">
        <v>384</v>
      </c>
      <c r="B6" s="159" t="s">
        <v>1</v>
      </c>
      <c r="C6" s="159" t="s">
        <v>2</v>
      </c>
      <c r="D6" s="31" t="s">
        <v>3</v>
      </c>
      <c r="E6" s="33" t="s">
        <v>385</v>
      </c>
      <c r="F6" s="161" t="s">
        <v>386</v>
      </c>
      <c r="G6" s="153" t="s">
        <v>5</v>
      </c>
      <c r="H6" s="151" t="s">
        <v>387</v>
      </c>
      <c r="I6" s="152"/>
      <c r="J6" s="153" t="s">
        <v>388</v>
      </c>
      <c r="K6" s="153" t="s">
        <v>389</v>
      </c>
      <c r="L6" s="151" t="s">
        <v>390</v>
      </c>
      <c r="M6" s="152"/>
      <c r="N6" s="155" t="s">
        <v>391</v>
      </c>
      <c r="O6" s="155" t="s">
        <v>392</v>
      </c>
      <c r="P6" s="155" t="s">
        <v>186</v>
      </c>
      <c r="Q6" s="33" t="s">
        <v>393</v>
      </c>
      <c r="R6" s="33" t="s">
        <v>394</v>
      </c>
      <c r="S6" s="33" t="s">
        <v>395</v>
      </c>
      <c r="T6" s="33" t="s">
        <v>396</v>
      </c>
    </row>
    <row r="7" spans="1:20" ht="15" customHeight="1" thickTop="1" thickBot="1" x14ac:dyDescent="0.25">
      <c r="A7" s="158"/>
      <c r="B7" s="160"/>
      <c r="C7" s="160"/>
      <c r="D7" s="32"/>
      <c r="E7" s="32"/>
      <c r="F7" s="162"/>
      <c r="G7" s="154"/>
      <c r="H7" s="34" t="s">
        <v>397</v>
      </c>
      <c r="I7" s="34" t="s">
        <v>398</v>
      </c>
      <c r="J7" s="154"/>
      <c r="K7" s="154"/>
      <c r="L7" s="34" t="s">
        <v>397</v>
      </c>
      <c r="M7" s="34" t="s">
        <v>398</v>
      </c>
      <c r="N7" s="156"/>
      <c r="O7" s="156"/>
      <c r="P7" s="156"/>
      <c r="Q7" s="35"/>
      <c r="R7" s="35"/>
      <c r="S7" s="35"/>
      <c r="T7" s="33"/>
    </row>
    <row r="8" spans="1:20" ht="27" thickTop="1" thickBot="1" x14ac:dyDescent="0.25">
      <c r="A8" s="7">
        <v>3</v>
      </c>
      <c r="B8" s="8" t="s">
        <v>27</v>
      </c>
      <c r="C8" s="8" t="s">
        <v>399</v>
      </c>
      <c r="D8" s="8" t="s">
        <v>400</v>
      </c>
      <c r="E8" s="7" t="s">
        <v>401</v>
      </c>
      <c r="F8" s="25" t="s">
        <v>402</v>
      </c>
      <c r="G8" s="4" t="s">
        <v>403</v>
      </c>
      <c r="H8" s="29">
        <v>3</v>
      </c>
      <c r="I8" s="29">
        <v>3</v>
      </c>
      <c r="J8" s="16">
        <f t="shared" ref="J8:J51" si="0">+H8*I8</f>
        <v>9</v>
      </c>
      <c r="K8" s="5" t="s">
        <v>404</v>
      </c>
      <c r="L8" s="29">
        <v>3</v>
      </c>
      <c r="M8" s="29">
        <v>2</v>
      </c>
      <c r="N8" s="16">
        <f t="shared" ref="N8:N51" si="1">+L8*M8</f>
        <v>6</v>
      </c>
      <c r="O8" s="18"/>
      <c r="P8" s="20" t="s">
        <v>47</v>
      </c>
      <c r="Q8" s="20"/>
      <c r="R8" s="20"/>
      <c r="S8" s="20"/>
      <c r="T8" s="7"/>
    </row>
    <row r="9" spans="1:20" ht="52.5" thickTop="1" thickBot="1" x14ac:dyDescent="0.25">
      <c r="A9" s="7">
        <v>11</v>
      </c>
      <c r="B9" s="8" t="s">
        <v>405</v>
      </c>
      <c r="C9" s="8" t="s">
        <v>406</v>
      </c>
      <c r="D9" s="8" t="s">
        <v>407</v>
      </c>
      <c r="E9" s="7" t="s">
        <v>408</v>
      </c>
      <c r="F9" s="23" t="s">
        <v>409</v>
      </c>
      <c r="G9" s="4" t="s">
        <v>410</v>
      </c>
      <c r="H9" s="29">
        <v>3</v>
      </c>
      <c r="I9" s="29">
        <v>3</v>
      </c>
      <c r="J9" s="16">
        <f t="shared" si="0"/>
        <v>9</v>
      </c>
      <c r="K9" s="5" t="s">
        <v>411</v>
      </c>
      <c r="L9" s="29">
        <v>2</v>
      </c>
      <c r="M9" s="29">
        <v>3</v>
      </c>
      <c r="N9" s="16">
        <f t="shared" si="1"/>
        <v>6</v>
      </c>
      <c r="O9" s="18"/>
      <c r="P9" s="20" t="s">
        <v>412</v>
      </c>
      <c r="Q9" s="20"/>
      <c r="R9" s="20"/>
      <c r="S9" s="20"/>
      <c r="T9" s="8"/>
    </row>
    <row r="10" spans="1:20" ht="65.25" thickTop="1" thickBot="1" x14ac:dyDescent="0.25">
      <c r="A10" s="7">
        <v>11</v>
      </c>
      <c r="B10" s="8" t="s">
        <v>405</v>
      </c>
      <c r="C10" s="8" t="s">
        <v>406</v>
      </c>
      <c r="D10" s="8" t="s">
        <v>413</v>
      </c>
      <c r="E10" s="7" t="s">
        <v>408</v>
      </c>
      <c r="F10" s="23" t="s">
        <v>414</v>
      </c>
      <c r="G10" s="4" t="s">
        <v>415</v>
      </c>
      <c r="H10" s="29">
        <v>3</v>
      </c>
      <c r="I10" s="29">
        <v>3</v>
      </c>
      <c r="J10" s="16">
        <f t="shared" si="0"/>
        <v>9</v>
      </c>
      <c r="K10" s="5" t="s">
        <v>416</v>
      </c>
      <c r="L10" s="29">
        <v>3</v>
      </c>
      <c r="M10" s="29">
        <v>2</v>
      </c>
      <c r="N10" s="16">
        <f t="shared" si="1"/>
        <v>6</v>
      </c>
      <c r="O10" s="18"/>
      <c r="P10" s="20" t="s">
        <v>412</v>
      </c>
      <c r="Q10" s="20"/>
      <c r="R10" s="20"/>
      <c r="S10" s="20"/>
      <c r="T10" s="8"/>
    </row>
    <row r="11" spans="1:20" ht="39.75" thickTop="1" thickBot="1" x14ac:dyDescent="0.25">
      <c r="A11" s="7">
        <v>3</v>
      </c>
      <c r="B11" s="8" t="s">
        <v>27</v>
      </c>
      <c r="C11" s="8" t="s">
        <v>399</v>
      </c>
      <c r="D11" s="8" t="s">
        <v>400</v>
      </c>
      <c r="E11" s="7" t="s">
        <v>401</v>
      </c>
      <c r="F11" s="25" t="s">
        <v>417</v>
      </c>
      <c r="G11" s="4" t="s">
        <v>418</v>
      </c>
      <c r="H11" s="29">
        <v>3</v>
      </c>
      <c r="I11" s="29">
        <v>2</v>
      </c>
      <c r="J11" s="16">
        <f t="shared" si="0"/>
        <v>6</v>
      </c>
      <c r="K11" s="5" t="s">
        <v>419</v>
      </c>
      <c r="L11" s="29">
        <v>2</v>
      </c>
      <c r="M11" s="29">
        <v>2</v>
      </c>
      <c r="N11" s="16">
        <f t="shared" si="1"/>
        <v>4</v>
      </c>
      <c r="O11" s="18"/>
      <c r="P11" s="20" t="s">
        <v>47</v>
      </c>
      <c r="Q11" s="20"/>
      <c r="R11" s="28"/>
      <c r="S11" s="20"/>
      <c r="T11" s="7"/>
    </row>
    <row r="12" spans="1:20" ht="93.75" customHeight="1" thickTop="1" thickBot="1" x14ac:dyDescent="0.25">
      <c r="A12" s="7">
        <v>9</v>
      </c>
      <c r="B12" s="8" t="s">
        <v>420</v>
      </c>
      <c r="C12" s="8" t="s">
        <v>421</v>
      </c>
      <c r="D12" s="8" t="s">
        <v>422</v>
      </c>
      <c r="E12" s="7" t="s">
        <v>408</v>
      </c>
      <c r="F12" s="23" t="s">
        <v>423</v>
      </c>
      <c r="G12" s="4" t="s">
        <v>424</v>
      </c>
      <c r="H12" s="29">
        <v>3</v>
      </c>
      <c r="I12" s="29">
        <v>2</v>
      </c>
      <c r="J12" s="16">
        <f t="shared" si="0"/>
        <v>6</v>
      </c>
      <c r="K12" s="5" t="s">
        <v>425</v>
      </c>
      <c r="L12" s="29">
        <v>2</v>
      </c>
      <c r="M12" s="29">
        <v>2</v>
      </c>
      <c r="N12" s="16">
        <f t="shared" si="1"/>
        <v>4</v>
      </c>
      <c r="O12" s="18"/>
      <c r="P12" s="20" t="s">
        <v>426</v>
      </c>
      <c r="Q12" s="20"/>
      <c r="R12" s="20"/>
      <c r="S12" s="20"/>
      <c r="T12" s="7"/>
    </row>
    <row r="13" spans="1:20" ht="52.5" thickTop="1" thickBot="1" x14ac:dyDescent="0.25">
      <c r="A13" s="7">
        <v>11</v>
      </c>
      <c r="B13" s="8" t="s">
        <v>405</v>
      </c>
      <c r="C13" s="8" t="s">
        <v>406</v>
      </c>
      <c r="D13" s="8" t="s">
        <v>427</v>
      </c>
      <c r="E13" s="7" t="s">
        <v>408</v>
      </c>
      <c r="F13" s="23" t="s">
        <v>428</v>
      </c>
      <c r="G13" s="4" t="s">
        <v>429</v>
      </c>
      <c r="H13" s="29">
        <v>2</v>
      </c>
      <c r="I13" s="29">
        <v>3</v>
      </c>
      <c r="J13" s="16">
        <f t="shared" si="0"/>
        <v>6</v>
      </c>
      <c r="K13" s="5" t="s">
        <v>430</v>
      </c>
      <c r="L13" s="29">
        <v>2</v>
      </c>
      <c r="M13" s="29">
        <v>2</v>
      </c>
      <c r="N13" s="16">
        <f t="shared" si="1"/>
        <v>4</v>
      </c>
      <c r="O13" s="18"/>
      <c r="P13" s="23" t="s">
        <v>305</v>
      </c>
      <c r="Q13" s="23"/>
      <c r="R13" s="23"/>
      <c r="S13" s="23"/>
      <c r="T13" s="3"/>
    </row>
    <row r="14" spans="1:20" ht="90.75" thickTop="1" thickBot="1" x14ac:dyDescent="0.25">
      <c r="A14" s="7">
        <v>2</v>
      </c>
      <c r="B14" s="8" t="s">
        <v>19</v>
      </c>
      <c r="C14" s="8"/>
      <c r="D14" s="8" t="s">
        <v>427</v>
      </c>
      <c r="E14" s="7" t="s">
        <v>401</v>
      </c>
      <c r="F14" s="23" t="s">
        <v>431</v>
      </c>
      <c r="G14" s="4" t="s">
        <v>432</v>
      </c>
      <c r="H14" s="29">
        <v>3</v>
      </c>
      <c r="I14" s="29">
        <v>3</v>
      </c>
      <c r="J14" s="16">
        <f t="shared" si="0"/>
        <v>9</v>
      </c>
      <c r="K14" s="5" t="s">
        <v>433</v>
      </c>
      <c r="L14" s="29">
        <v>3</v>
      </c>
      <c r="M14" s="29">
        <v>1</v>
      </c>
      <c r="N14" s="16">
        <f t="shared" si="1"/>
        <v>3</v>
      </c>
      <c r="O14" s="18"/>
      <c r="P14" s="23" t="s">
        <v>434</v>
      </c>
      <c r="Q14" s="26"/>
      <c r="R14" s="26"/>
      <c r="S14" s="26"/>
      <c r="T14" s="2"/>
    </row>
    <row r="15" spans="1:20" ht="39.75" thickTop="1" thickBot="1" x14ac:dyDescent="0.25">
      <c r="A15" s="7">
        <v>10</v>
      </c>
      <c r="B15" s="8" t="s">
        <v>435</v>
      </c>
      <c r="C15" s="8" t="s">
        <v>436</v>
      </c>
      <c r="D15" s="8" t="s">
        <v>437</v>
      </c>
      <c r="E15" s="7" t="s">
        <v>401</v>
      </c>
      <c r="F15" s="23" t="s">
        <v>438</v>
      </c>
      <c r="G15" s="4" t="s">
        <v>439</v>
      </c>
      <c r="H15" s="29">
        <v>3</v>
      </c>
      <c r="I15" s="29">
        <v>3</v>
      </c>
      <c r="J15" s="16">
        <f t="shared" si="0"/>
        <v>9</v>
      </c>
      <c r="K15" s="5" t="s">
        <v>440</v>
      </c>
      <c r="L15" s="29">
        <v>3</v>
      </c>
      <c r="M15" s="29">
        <v>1</v>
      </c>
      <c r="N15" s="16">
        <f t="shared" si="1"/>
        <v>3</v>
      </c>
      <c r="O15" s="18"/>
      <c r="P15" s="23" t="s">
        <v>208</v>
      </c>
      <c r="Q15" s="26"/>
      <c r="R15" s="26"/>
      <c r="S15" s="26"/>
      <c r="T15" s="2"/>
    </row>
    <row r="16" spans="1:20" ht="52.5" thickTop="1" thickBot="1" x14ac:dyDescent="0.25">
      <c r="A16" s="7">
        <v>6</v>
      </c>
      <c r="B16" s="8" t="s">
        <v>441</v>
      </c>
      <c r="C16" s="8"/>
      <c r="D16" s="8" t="s">
        <v>427</v>
      </c>
      <c r="E16" s="7" t="s">
        <v>408</v>
      </c>
      <c r="F16" s="23" t="s">
        <v>442</v>
      </c>
      <c r="G16" s="4" t="s">
        <v>443</v>
      </c>
      <c r="H16" s="29">
        <v>3</v>
      </c>
      <c r="I16" s="29">
        <v>2</v>
      </c>
      <c r="J16" s="16">
        <f t="shared" si="0"/>
        <v>6</v>
      </c>
      <c r="K16" s="5" t="s">
        <v>444</v>
      </c>
      <c r="L16" s="29">
        <v>3</v>
      </c>
      <c r="M16" s="29">
        <v>1</v>
      </c>
      <c r="N16" s="16">
        <f t="shared" si="1"/>
        <v>3</v>
      </c>
      <c r="O16" s="18"/>
      <c r="P16" s="20" t="s">
        <v>445</v>
      </c>
      <c r="Q16" s="20"/>
      <c r="R16" s="20"/>
      <c r="S16" s="20"/>
      <c r="T16" s="7"/>
    </row>
    <row r="17" spans="1:20" ht="116.25" thickTop="1" thickBot="1" x14ac:dyDescent="0.25">
      <c r="A17" s="7">
        <v>5</v>
      </c>
      <c r="B17" s="8" t="s">
        <v>12</v>
      </c>
      <c r="C17" s="8"/>
      <c r="D17" s="8" t="s">
        <v>446</v>
      </c>
      <c r="E17" s="7" t="s">
        <v>408</v>
      </c>
      <c r="F17" s="23" t="s">
        <v>447</v>
      </c>
      <c r="G17" s="4" t="s">
        <v>448</v>
      </c>
      <c r="H17" s="29">
        <v>3</v>
      </c>
      <c r="I17" s="29">
        <v>3</v>
      </c>
      <c r="J17" s="16">
        <f t="shared" si="0"/>
        <v>9</v>
      </c>
      <c r="K17" s="5" t="s">
        <v>449</v>
      </c>
      <c r="L17" s="29">
        <v>1</v>
      </c>
      <c r="M17" s="29">
        <v>2</v>
      </c>
      <c r="N17" s="16">
        <f t="shared" si="1"/>
        <v>2</v>
      </c>
      <c r="O17" s="18"/>
      <c r="P17" s="23" t="s">
        <v>450</v>
      </c>
      <c r="Q17" s="23"/>
      <c r="R17" s="23"/>
      <c r="S17" s="23"/>
      <c r="T17" s="2"/>
    </row>
    <row r="18" spans="1:20" ht="103.5" thickTop="1" thickBot="1" x14ac:dyDescent="0.25">
      <c r="A18" s="7">
        <v>7</v>
      </c>
      <c r="B18" s="8" t="s">
        <v>451</v>
      </c>
      <c r="C18" s="8"/>
      <c r="D18" s="8" t="s">
        <v>452</v>
      </c>
      <c r="E18" s="7" t="s">
        <v>408</v>
      </c>
      <c r="F18" s="23" t="s">
        <v>453</v>
      </c>
      <c r="G18" s="4" t="s">
        <v>454</v>
      </c>
      <c r="H18" s="29">
        <v>3</v>
      </c>
      <c r="I18" s="29">
        <v>2</v>
      </c>
      <c r="J18" s="16">
        <f t="shared" si="0"/>
        <v>6</v>
      </c>
      <c r="K18" s="5" t="s">
        <v>455</v>
      </c>
      <c r="L18" s="29">
        <v>2</v>
      </c>
      <c r="M18" s="29">
        <v>1</v>
      </c>
      <c r="N18" s="16">
        <f t="shared" si="1"/>
        <v>2</v>
      </c>
      <c r="O18" s="18"/>
      <c r="P18" s="20" t="s">
        <v>29</v>
      </c>
      <c r="Q18" s="26"/>
      <c r="R18" s="26"/>
      <c r="S18" s="26"/>
      <c r="T18" s="2"/>
    </row>
    <row r="19" spans="1:20" ht="39.75" thickTop="1" thickBot="1" x14ac:dyDescent="0.25">
      <c r="A19" s="7">
        <v>7</v>
      </c>
      <c r="B19" s="8" t="s">
        <v>451</v>
      </c>
      <c r="C19" s="8"/>
      <c r="D19" s="8" t="s">
        <v>263</v>
      </c>
      <c r="E19" s="7" t="s">
        <v>401</v>
      </c>
      <c r="F19" s="23" t="s">
        <v>456</v>
      </c>
      <c r="G19" s="4" t="s">
        <v>457</v>
      </c>
      <c r="H19" s="29">
        <v>3</v>
      </c>
      <c r="I19" s="29">
        <v>2</v>
      </c>
      <c r="J19" s="16">
        <f t="shared" si="0"/>
        <v>6</v>
      </c>
      <c r="K19" s="5" t="s">
        <v>458</v>
      </c>
      <c r="L19" s="29">
        <v>2</v>
      </c>
      <c r="M19" s="29">
        <v>1</v>
      </c>
      <c r="N19" s="16">
        <f t="shared" si="1"/>
        <v>2</v>
      </c>
      <c r="O19" s="18"/>
      <c r="P19" s="20" t="s">
        <v>459</v>
      </c>
      <c r="Q19" s="23"/>
      <c r="R19" s="27"/>
      <c r="S19" s="23"/>
      <c r="T19" s="2"/>
    </row>
    <row r="20" spans="1:20" ht="103.5" thickTop="1" thickBot="1" x14ac:dyDescent="0.25">
      <c r="A20" s="7">
        <v>3</v>
      </c>
      <c r="B20" s="8" t="s">
        <v>27</v>
      </c>
      <c r="C20" s="8" t="s">
        <v>460</v>
      </c>
      <c r="D20" s="8" t="s">
        <v>427</v>
      </c>
      <c r="E20" s="7" t="s">
        <v>408</v>
      </c>
      <c r="F20" s="25" t="s">
        <v>461</v>
      </c>
      <c r="G20" s="4" t="s">
        <v>462</v>
      </c>
      <c r="H20" s="29">
        <v>2</v>
      </c>
      <c r="I20" s="29">
        <v>2</v>
      </c>
      <c r="J20" s="16">
        <f t="shared" si="0"/>
        <v>4</v>
      </c>
      <c r="K20" s="5" t="s">
        <v>463</v>
      </c>
      <c r="L20" s="29">
        <v>2</v>
      </c>
      <c r="M20" s="29">
        <v>1</v>
      </c>
      <c r="N20" s="16">
        <f t="shared" si="1"/>
        <v>2</v>
      </c>
      <c r="O20" s="18"/>
      <c r="P20" s="20" t="s">
        <v>29</v>
      </c>
      <c r="Q20" s="20"/>
      <c r="R20" s="20"/>
      <c r="S20" s="20"/>
      <c r="T20" s="7"/>
    </row>
    <row r="21" spans="1:20" ht="52.5" thickTop="1" thickBot="1" x14ac:dyDescent="0.25">
      <c r="A21" s="7">
        <v>5</v>
      </c>
      <c r="B21" s="8" t="s">
        <v>12</v>
      </c>
      <c r="C21" s="8"/>
      <c r="D21" s="8" t="s">
        <v>427</v>
      </c>
      <c r="E21" s="7" t="s">
        <v>408</v>
      </c>
      <c r="F21" s="23" t="s">
        <v>464</v>
      </c>
      <c r="G21" s="4" t="s">
        <v>465</v>
      </c>
      <c r="H21" s="29">
        <v>2</v>
      </c>
      <c r="I21" s="29">
        <v>2</v>
      </c>
      <c r="J21" s="16">
        <f t="shared" si="0"/>
        <v>4</v>
      </c>
      <c r="K21" s="5" t="s">
        <v>466</v>
      </c>
      <c r="L21" s="29">
        <v>1</v>
      </c>
      <c r="M21" s="29">
        <v>2</v>
      </c>
      <c r="N21" s="16">
        <f t="shared" si="1"/>
        <v>2</v>
      </c>
      <c r="O21" s="18"/>
      <c r="P21" s="23" t="s">
        <v>467</v>
      </c>
      <c r="Q21" s="23"/>
      <c r="R21" s="27"/>
      <c r="S21" s="23"/>
      <c r="T21" s="3"/>
    </row>
    <row r="22" spans="1:20" ht="39.75" thickTop="1" thickBot="1" x14ac:dyDescent="0.25">
      <c r="A22" s="7">
        <v>10</v>
      </c>
      <c r="B22" s="8" t="s">
        <v>435</v>
      </c>
      <c r="C22" s="8" t="s">
        <v>436</v>
      </c>
      <c r="D22" s="8" t="s">
        <v>437</v>
      </c>
      <c r="E22" s="7" t="s">
        <v>401</v>
      </c>
      <c r="F22" s="23" t="s">
        <v>468</v>
      </c>
      <c r="G22" s="4" t="s">
        <v>469</v>
      </c>
      <c r="H22" s="29">
        <v>2</v>
      </c>
      <c r="I22" s="29">
        <v>2</v>
      </c>
      <c r="J22" s="16">
        <f t="shared" si="0"/>
        <v>4</v>
      </c>
      <c r="K22" s="5" t="s">
        <v>470</v>
      </c>
      <c r="L22" s="29">
        <v>1</v>
      </c>
      <c r="M22" s="29">
        <v>2</v>
      </c>
      <c r="N22" s="16">
        <f t="shared" si="1"/>
        <v>2</v>
      </c>
      <c r="O22" s="18"/>
      <c r="P22" s="23" t="s">
        <v>208</v>
      </c>
      <c r="Q22" s="26"/>
      <c r="R22" s="26"/>
      <c r="S22" s="26"/>
      <c r="T22" s="2"/>
    </row>
    <row r="23" spans="1:20" ht="78" thickTop="1" thickBot="1" x14ac:dyDescent="0.25">
      <c r="A23" s="7">
        <v>1</v>
      </c>
      <c r="B23" s="8" t="s">
        <v>471</v>
      </c>
      <c r="C23" s="8"/>
      <c r="D23" s="8" t="s">
        <v>472</v>
      </c>
      <c r="E23" s="7" t="s">
        <v>408</v>
      </c>
      <c r="F23" s="23" t="s">
        <v>473</v>
      </c>
      <c r="G23" s="4" t="s">
        <v>474</v>
      </c>
      <c r="H23" s="29">
        <v>1</v>
      </c>
      <c r="I23" s="29">
        <v>3</v>
      </c>
      <c r="J23" s="16">
        <f t="shared" si="0"/>
        <v>3</v>
      </c>
      <c r="K23" s="5" t="s">
        <v>475</v>
      </c>
      <c r="L23" s="29">
        <v>1</v>
      </c>
      <c r="M23" s="29">
        <v>2</v>
      </c>
      <c r="N23" s="16">
        <f t="shared" si="1"/>
        <v>2</v>
      </c>
      <c r="O23" s="17"/>
      <c r="P23" s="23" t="s">
        <v>476</v>
      </c>
      <c r="Q23" s="26"/>
      <c r="R23" s="26"/>
      <c r="S23" s="26"/>
      <c r="T23" s="2"/>
    </row>
    <row r="24" spans="1:20" ht="52.5" thickTop="1" thickBot="1" x14ac:dyDescent="0.25">
      <c r="A24" s="7">
        <v>3</v>
      </c>
      <c r="B24" s="8" t="s">
        <v>27</v>
      </c>
      <c r="C24" s="8" t="s">
        <v>399</v>
      </c>
      <c r="D24" s="8" t="s">
        <v>427</v>
      </c>
      <c r="E24" s="7" t="s">
        <v>408</v>
      </c>
      <c r="F24" s="25" t="s">
        <v>477</v>
      </c>
      <c r="G24" s="4" t="s">
        <v>352</v>
      </c>
      <c r="H24" s="29">
        <v>1</v>
      </c>
      <c r="I24" s="29">
        <v>3</v>
      </c>
      <c r="J24" s="16">
        <f t="shared" si="0"/>
        <v>3</v>
      </c>
      <c r="K24" s="5" t="s">
        <v>478</v>
      </c>
      <c r="L24" s="29">
        <v>1</v>
      </c>
      <c r="M24" s="29">
        <v>2</v>
      </c>
      <c r="N24" s="16">
        <f t="shared" si="1"/>
        <v>2</v>
      </c>
      <c r="O24" s="18"/>
      <c r="P24" s="20" t="s">
        <v>47</v>
      </c>
      <c r="Q24" s="20"/>
      <c r="R24" s="28"/>
      <c r="S24" s="20"/>
      <c r="T24" s="7"/>
    </row>
    <row r="25" spans="1:20" ht="65.25" thickTop="1" thickBot="1" x14ac:dyDescent="0.25">
      <c r="A25" s="7">
        <v>3</v>
      </c>
      <c r="B25" s="8" t="s">
        <v>27</v>
      </c>
      <c r="C25" s="8" t="s">
        <v>460</v>
      </c>
      <c r="D25" s="8" t="s">
        <v>437</v>
      </c>
      <c r="E25" s="7" t="s">
        <v>408</v>
      </c>
      <c r="F25" s="25" t="s">
        <v>479</v>
      </c>
      <c r="G25" s="4" t="s">
        <v>480</v>
      </c>
      <c r="H25" s="29">
        <v>1</v>
      </c>
      <c r="I25" s="29">
        <v>3</v>
      </c>
      <c r="J25" s="16">
        <f t="shared" si="0"/>
        <v>3</v>
      </c>
      <c r="K25" s="5" t="s">
        <v>481</v>
      </c>
      <c r="L25" s="29">
        <v>1</v>
      </c>
      <c r="M25" s="29">
        <v>2</v>
      </c>
      <c r="N25" s="16">
        <f t="shared" si="1"/>
        <v>2</v>
      </c>
      <c r="O25" s="18"/>
      <c r="P25" s="20" t="s">
        <v>29</v>
      </c>
      <c r="Q25" s="20"/>
      <c r="R25" s="20"/>
      <c r="S25" s="20"/>
      <c r="T25" s="7"/>
    </row>
    <row r="26" spans="1:20" ht="116.25" thickTop="1" thickBot="1" x14ac:dyDescent="0.25">
      <c r="A26" s="7">
        <v>4</v>
      </c>
      <c r="B26" s="8" t="s">
        <v>482</v>
      </c>
      <c r="C26" s="8"/>
      <c r="D26" s="8" t="s">
        <v>427</v>
      </c>
      <c r="E26" s="7" t="s">
        <v>401</v>
      </c>
      <c r="F26" s="23" t="s">
        <v>483</v>
      </c>
      <c r="G26" s="4" t="s">
        <v>484</v>
      </c>
      <c r="H26" s="29">
        <v>1</v>
      </c>
      <c r="I26" s="29">
        <v>3</v>
      </c>
      <c r="J26" s="16">
        <f t="shared" si="0"/>
        <v>3</v>
      </c>
      <c r="K26" s="5" t="s">
        <v>485</v>
      </c>
      <c r="L26" s="29">
        <v>1</v>
      </c>
      <c r="M26" s="29">
        <v>2</v>
      </c>
      <c r="N26" s="16">
        <f t="shared" si="1"/>
        <v>2</v>
      </c>
      <c r="O26" s="18"/>
      <c r="P26" s="23" t="s">
        <v>305</v>
      </c>
      <c r="Q26" s="23"/>
      <c r="R26" s="27"/>
      <c r="S26" s="23"/>
      <c r="T26" s="2"/>
    </row>
    <row r="27" spans="1:20" ht="52.5" thickTop="1" thickBot="1" x14ac:dyDescent="0.25">
      <c r="A27" s="7">
        <v>4</v>
      </c>
      <c r="B27" s="8" t="s">
        <v>482</v>
      </c>
      <c r="C27" s="8" t="s">
        <v>486</v>
      </c>
      <c r="D27" s="8" t="s">
        <v>487</v>
      </c>
      <c r="E27" s="7" t="s">
        <v>408</v>
      </c>
      <c r="F27" s="23" t="s">
        <v>488</v>
      </c>
      <c r="G27" s="4" t="s">
        <v>489</v>
      </c>
      <c r="H27" s="29">
        <v>1</v>
      </c>
      <c r="I27" s="29">
        <v>3</v>
      </c>
      <c r="J27" s="16">
        <f t="shared" si="0"/>
        <v>3</v>
      </c>
      <c r="K27" s="5" t="s">
        <v>490</v>
      </c>
      <c r="L27" s="29">
        <v>1</v>
      </c>
      <c r="M27" s="29">
        <v>2</v>
      </c>
      <c r="N27" s="16">
        <f t="shared" si="1"/>
        <v>2</v>
      </c>
      <c r="O27" s="18"/>
      <c r="P27" s="23" t="s">
        <v>491</v>
      </c>
      <c r="Q27" s="23"/>
      <c r="R27" s="23"/>
      <c r="S27" s="23"/>
      <c r="T27" s="2"/>
    </row>
    <row r="28" spans="1:20" ht="52.5" thickTop="1" thickBot="1" x14ac:dyDescent="0.25">
      <c r="A28" s="7">
        <v>5</v>
      </c>
      <c r="B28" s="8" t="s">
        <v>12</v>
      </c>
      <c r="C28" s="8"/>
      <c r="D28" s="8" t="s">
        <v>427</v>
      </c>
      <c r="E28" s="7" t="s">
        <v>408</v>
      </c>
      <c r="F28" s="23" t="s">
        <v>492</v>
      </c>
      <c r="G28" s="4" t="s">
        <v>493</v>
      </c>
      <c r="H28" s="29">
        <v>1</v>
      </c>
      <c r="I28" s="29">
        <v>3</v>
      </c>
      <c r="J28" s="16">
        <f t="shared" si="0"/>
        <v>3</v>
      </c>
      <c r="K28" s="5" t="s">
        <v>494</v>
      </c>
      <c r="L28" s="29">
        <v>1</v>
      </c>
      <c r="M28" s="29">
        <v>2</v>
      </c>
      <c r="N28" s="16">
        <f t="shared" si="1"/>
        <v>2</v>
      </c>
      <c r="O28" s="18"/>
      <c r="P28" s="23" t="s">
        <v>450</v>
      </c>
      <c r="Q28" s="23"/>
      <c r="R28" s="23"/>
      <c r="S28" s="23"/>
      <c r="T28" s="2"/>
    </row>
    <row r="29" spans="1:20" ht="39.75" thickTop="1" thickBot="1" x14ac:dyDescent="0.25">
      <c r="A29" s="7">
        <v>8</v>
      </c>
      <c r="B29" s="8" t="s">
        <v>495</v>
      </c>
      <c r="C29" s="8" t="s">
        <v>496</v>
      </c>
      <c r="D29" s="8" t="s">
        <v>497</v>
      </c>
      <c r="E29" s="7" t="s">
        <v>401</v>
      </c>
      <c r="F29" s="23" t="s">
        <v>498</v>
      </c>
      <c r="G29" s="4" t="s">
        <v>499</v>
      </c>
      <c r="H29" s="29">
        <v>3</v>
      </c>
      <c r="I29" s="29">
        <v>1</v>
      </c>
      <c r="J29" s="16">
        <f t="shared" si="0"/>
        <v>3</v>
      </c>
      <c r="K29" s="5" t="s">
        <v>500</v>
      </c>
      <c r="L29" s="29">
        <v>2</v>
      </c>
      <c r="M29" s="29">
        <v>1</v>
      </c>
      <c r="N29" s="16">
        <f t="shared" si="1"/>
        <v>2</v>
      </c>
      <c r="O29" s="18"/>
      <c r="P29" s="20" t="s">
        <v>106</v>
      </c>
      <c r="Q29" s="20"/>
      <c r="R29" s="20"/>
      <c r="S29" s="20"/>
      <c r="T29" s="7"/>
    </row>
    <row r="30" spans="1:20" ht="27" thickTop="1" thickBot="1" x14ac:dyDescent="0.25">
      <c r="A30" s="7">
        <v>8</v>
      </c>
      <c r="B30" s="8" t="s">
        <v>495</v>
      </c>
      <c r="C30" s="8" t="s">
        <v>496</v>
      </c>
      <c r="D30" s="8" t="s">
        <v>487</v>
      </c>
      <c r="E30" s="7" t="s">
        <v>408</v>
      </c>
      <c r="F30" s="23" t="s">
        <v>501</v>
      </c>
      <c r="G30" s="4" t="s">
        <v>502</v>
      </c>
      <c r="H30" s="29">
        <v>1</v>
      </c>
      <c r="I30" s="29">
        <v>3</v>
      </c>
      <c r="J30" s="16">
        <f t="shared" si="0"/>
        <v>3</v>
      </c>
      <c r="K30" s="5" t="s">
        <v>503</v>
      </c>
      <c r="L30" s="29">
        <v>1</v>
      </c>
      <c r="M30" s="29">
        <v>2</v>
      </c>
      <c r="N30" s="16">
        <f t="shared" si="1"/>
        <v>2</v>
      </c>
      <c r="O30" s="18"/>
      <c r="P30" s="20" t="s">
        <v>106</v>
      </c>
      <c r="Q30" s="20"/>
      <c r="R30" s="28"/>
      <c r="S30" s="20"/>
      <c r="T30" s="7"/>
    </row>
    <row r="31" spans="1:20" ht="27" thickTop="1" thickBot="1" x14ac:dyDescent="0.25">
      <c r="A31" s="7">
        <v>9</v>
      </c>
      <c r="B31" s="8" t="s">
        <v>420</v>
      </c>
      <c r="C31" s="8" t="s">
        <v>504</v>
      </c>
      <c r="D31" s="8" t="s">
        <v>422</v>
      </c>
      <c r="E31" s="7" t="s">
        <v>401</v>
      </c>
      <c r="F31" s="23" t="s">
        <v>505</v>
      </c>
      <c r="G31" s="4" t="s">
        <v>506</v>
      </c>
      <c r="H31" s="29">
        <v>1</v>
      </c>
      <c r="I31" s="29">
        <v>3</v>
      </c>
      <c r="J31" s="16">
        <f t="shared" si="0"/>
        <v>3</v>
      </c>
      <c r="K31" s="5" t="s">
        <v>507</v>
      </c>
      <c r="L31" s="29">
        <v>1</v>
      </c>
      <c r="M31" s="29">
        <v>2</v>
      </c>
      <c r="N31" s="16">
        <f t="shared" si="1"/>
        <v>2</v>
      </c>
      <c r="O31" s="18"/>
      <c r="P31" s="20" t="s">
        <v>426</v>
      </c>
      <c r="Q31" s="20"/>
      <c r="R31" s="20"/>
      <c r="S31" s="20"/>
      <c r="T31" s="7"/>
    </row>
    <row r="32" spans="1:20" ht="39.75" thickTop="1" thickBot="1" x14ac:dyDescent="0.25">
      <c r="A32" s="7">
        <v>10</v>
      </c>
      <c r="B32" s="8" t="s">
        <v>435</v>
      </c>
      <c r="C32" s="8" t="s">
        <v>508</v>
      </c>
      <c r="D32" s="8" t="s">
        <v>437</v>
      </c>
      <c r="E32" s="7" t="s">
        <v>408</v>
      </c>
      <c r="F32" s="23" t="s">
        <v>509</v>
      </c>
      <c r="G32" s="4" t="s">
        <v>510</v>
      </c>
      <c r="H32" s="29">
        <v>1</v>
      </c>
      <c r="I32" s="29">
        <v>3</v>
      </c>
      <c r="J32" s="16">
        <f t="shared" si="0"/>
        <v>3</v>
      </c>
      <c r="K32" s="5" t="s">
        <v>470</v>
      </c>
      <c r="L32" s="29">
        <v>1</v>
      </c>
      <c r="M32" s="29">
        <v>2</v>
      </c>
      <c r="N32" s="16">
        <f t="shared" si="1"/>
        <v>2</v>
      </c>
      <c r="O32" s="18"/>
      <c r="P32" s="20" t="s">
        <v>511</v>
      </c>
      <c r="Q32" s="26"/>
      <c r="R32" s="26"/>
      <c r="S32" s="26"/>
      <c r="T32" s="2"/>
    </row>
    <row r="33" spans="1:20" ht="39.75" thickTop="1" thickBot="1" x14ac:dyDescent="0.25">
      <c r="A33" s="7">
        <v>10</v>
      </c>
      <c r="B33" s="8" t="s">
        <v>435</v>
      </c>
      <c r="C33" s="8" t="s">
        <v>436</v>
      </c>
      <c r="D33" s="8" t="s">
        <v>437</v>
      </c>
      <c r="E33" s="7" t="s">
        <v>401</v>
      </c>
      <c r="F33" s="23" t="s">
        <v>512</v>
      </c>
      <c r="G33" s="4" t="s">
        <v>513</v>
      </c>
      <c r="H33" s="29">
        <v>1</v>
      </c>
      <c r="I33" s="29">
        <v>3</v>
      </c>
      <c r="J33" s="16">
        <f t="shared" si="0"/>
        <v>3</v>
      </c>
      <c r="K33" s="5" t="s">
        <v>514</v>
      </c>
      <c r="L33" s="29">
        <v>1</v>
      </c>
      <c r="M33" s="29">
        <v>2</v>
      </c>
      <c r="N33" s="16">
        <f t="shared" si="1"/>
        <v>2</v>
      </c>
      <c r="O33" s="18"/>
      <c r="P33" s="23" t="s">
        <v>208</v>
      </c>
      <c r="Q33" s="26"/>
      <c r="R33" s="26"/>
      <c r="S33" s="26"/>
      <c r="T33" s="2"/>
    </row>
    <row r="34" spans="1:20" ht="90.75" thickTop="1" thickBot="1" x14ac:dyDescent="0.25">
      <c r="A34" s="7">
        <v>4</v>
      </c>
      <c r="B34" s="8" t="s">
        <v>482</v>
      </c>
      <c r="C34" s="8" t="s">
        <v>486</v>
      </c>
      <c r="D34" s="8" t="s">
        <v>413</v>
      </c>
      <c r="E34" s="7" t="s">
        <v>408</v>
      </c>
      <c r="F34" s="23" t="s">
        <v>515</v>
      </c>
      <c r="G34" s="4" t="s">
        <v>516</v>
      </c>
      <c r="H34" s="29">
        <v>3</v>
      </c>
      <c r="I34" s="29">
        <v>3</v>
      </c>
      <c r="J34" s="16">
        <f t="shared" si="0"/>
        <v>9</v>
      </c>
      <c r="K34" s="5" t="s">
        <v>517</v>
      </c>
      <c r="L34" s="29">
        <v>1</v>
      </c>
      <c r="M34" s="29">
        <v>1</v>
      </c>
      <c r="N34" s="16">
        <f t="shared" si="1"/>
        <v>1</v>
      </c>
      <c r="O34" s="18"/>
      <c r="P34" s="23" t="s">
        <v>491</v>
      </c>
      <c r="Q34" s="23"/>
      <c r="R34" s="23"/>
      <c r="S34" s="23"/>
      <c r="T34" s="2"/>
    </row>
    <row r="35" spans="1:20" ht="39.75" thickTop="1" thickBot="1" x14ac:dyDescent="0.25">
      <c r="A35" s="7">
        <v>9</v>
      </c>
      <c r="B35" s="8" t="s">
        <v>420</v>
      </c>
      <c r="C35" s="8" t="s">
        <v>504</v>
      </c>
      <c r="D35" s="8" t="s">
        <v>422</v>
      </c>
      <c r="E35" s="7" t="s">
        <v>408</v>
      </c>
      <c r="F35" s="23" t="s">
        <v>518</v>
      </c>
      <c r="G35" s="4" t="s">
        <v>519</v>
      </c>
      <c r="H35" s="29">
        <v>3</v>
      </c>
      <c r="I35" s="29">
        <v>3</v>
      </c>
      <c r="J35" s="16">
        <f t="shared" si="0"/>
        <v>9</v>
      </c>
      <c r="K35" s="5" t="s">
        <v>520</v>
      </c>
      <c r="L35" s="29">
        <v>1</v>
      </c>
      <c r="M35" s="29">
        <v>1</v>
      </c>
      <c r="N35" s="16">
        <f t="shared" si="1"/>
        <v>1</v>
      </c>
      <c r="O35" s="18"/>
      <c r="P35" s="20" t="s">
        <v>426</v>
      </c>
      <c r="Q35" s="36"/>
      <c r="R35" s="20"/>
      <c r="S35" s="20"/>
      <c r="T35" s="7"/>
    </row>
    <row r="36" spans="1:20" ht="52.5" thickTop="1" thickBot="1" x14ac:dyDescent="0.25">
      <c r="A36" s="7">
        <v>2</v>
      </c>
      <c r="B36" s="8" t="s">
        <v>19</v>
      </c>
      <c r="C36" s="8"/>
      <c r="D36" s="8" t="s">
        <v>427</v>
      </c>
      <c r="E36" s="7" t="s">
        <v>408</v>
      </c>
      <c r="F36" s="23" t="s">
        <v>521</v>
      </c>
      <c r="G36" s="4" t="s">
        <v>522</v>
      </c>
      <c r="H36" s="29">
        <v>2</v>
      </c>
      <c r="I36" s="29">
        <v>3</v>
      </c>
      <c r="J36" s="16">
        <f t="shared" si="0"/>
        <v>6</v>
      </c>
      <c r="K36" s="5" t="s">
        <v>523</v>
      </c>
      <c r="L36" s="29">
        <v>1</v>
      </c>
      <c r="M36" s="29">
        <v>1</v>
      </c>
      <c r="N36" s="16">
        <f t="shared" si="1"/>
        <v>1</v>
      </c>
      <c r="O36" s="17"/>
      <c r="P36" s="23" t="s">
        <v>524</v>
      </c>
      <c r="Q36" s="26"/>
      <c r="R36" s="26"/>
      <c r="S36" s="26"/>
      <c r="T36" s="2"/>
    </row>
    <row r="37" spans="1:20" ht="154.5" thickTop="1" thickBot="1" x14ac:dyDescent="0.25">
      <c r="A37" s="7">
        <v>2</v>
      </c>
      <c r="B37" s="8" t="s">
        <v>19</v>
      </c>
      <c r="C37" s="8"/>
      <c r="D37" s="8" t="s">
        <v>427</v>
      </c>
      <c r="E37" s="7" t="s">
        <v>401</v>
      </c>
      <c r="F37" s="23" t="s">
        <v>525</v>
      </c>
      <c r="G37" s="4" t="s">
        <v>526</v>
      </c>
      <c r="H37" s="29">
        <v>2</v>
      </c>
      <c r="I37" s="29">
        <v>3</v>
      </c>
      <c r="J37" s="16">
        <f t="shared" si="0"/>
        <v>6</v>
      </c>
      <c r="K37" s="5" t="s">
        <v>527</v>
      </c>
      <c r="L37" s="29">
        <v>1</v>
      </c>
      <c r="M37" s="29">
        <v>1</v>
      </c>
      <c r="N37" s="16">
        <f t="shared" si="1"/>
        <v>1</v>
      </c>
      <c r="O37" s="17"/>
      <c r="P37" s="23" t="s">
        <v>528</v>
      </c>
      <c r="Q37" s="26"/>
      <c r="R37" s="26"/>
      <c r="S37" s="26"/>
      <c r="T37" s="2"/>
    </row>
    <row r="38" spans="1:20" ht="39.75" thickTop="1" thickBot="1" x14ac:dyDescent="0.25">
      <c r="A38" s="7">
        <v>5</v>
      </c>
      <c r="B38" s="8" t="s">
        <v>12</v>
      </c>
      <c r="C38" s="8"/>
      <c r="D38" s="8" t="s">
        <v>427</v>
      </c>
      <c r="E38" s="7" t="s">
        <v>408</v>
      </c>
      <c r="F38" s="23" t="s">
        <v>529</v>
      </c>
      <c r="G38" s="4" t="s">
        <v>530</v>
      </c>
      <c r="H38" s="29">
        <v>2</v>
      </c>
      <c r="I38" s="29">
        <v>3</v>
      </c>
      <c r="J38" s="16">
        <f t="shared" si="0"/>
        <v>6</v>
      </c>
      <c r="K38" s="5" t="s">
        <v>531</v>
      </c>
      <c r="L38" s="29">
        <v>1</v>
      </c>
      <c r="M38" s="29">
        <v>1</v>
      </c>
      <c r="N38" s="16">
        <f t="shared" si="1"/>
        <v>1</v>
      </c>
      <c r="O38" s="18"/>
      <c r="P38" s="23" t="s">
        <v>450</v>
      </c>
      <c r="Q38" s="23"/>
      <c r="R38" s="23"/>
      <c r="S38" s="23"/>
      <c r="T38" s="2"/>
    </row>
    <row r="39" spans="1:20" ht="78" thickTop="1" thickBot="1" x14ac:dyDescent="0.25">
      <c r="A39" s="7">
        <v>8</v>
      </c>
      <c r="B39" s="8" t="s">
        <v>495</v>
      </c>
      <c r="C39" s="8" t="s">
        <v>532</v>
      </c>
      <c r="D39" s="8" t="s">
        <v>487</v>
      </c>
      <c r="E39" s="7" t="s">
        <v>408</v>
      </c>
      <c r="F39" s="23" t="s">
        <v>533</v>
      </c>
      <c r="G39" s="4" t="s">
        <v>534</v>
      </c>
      <c r="H39" s="29">
        <v>2</v>
      </c>
      <c r="I39" s="29">
        <v>3</v>
      </c>
      <c r="J39" s="16">
        <f t="shared" si="0"/>
        <v>6</v>
      </c>
      <c r="K39" s="5" t="s">
        <v>535</v>
      </c>
      <c r="L39" s="29">
        <v>1</v>
      </c>
      <c r="M39" s="29">
        <v>1</v>
      </c>
      <c r="N39" s="16">
        <f t="shared" si="1"/>
        <v>1</v>
      </c>
      <c r="O39" s="18"/>
      <c r="P39" s="20" t="s">
        <v>106</v>
      </c>
      <c r="Q39" s="8"/>
      <c r="R39" s="28"/>
      <c r="S39" s="20"/>
      <c r="T39" s="7"/>
    </row>
    <row r="40" spans="1:20" ht="39.75" thickTop="1" thickBot="1" x14ac:dyDescent="0.25">
      <c r="A40" s="7">
        <v>9</v>
      </c>
      <c r="B40" s="8" t="s">
        <v>420</v>
      </c>
      <c r="C40" s="8" t="s">
        <v>536</v>
      </c>
      <c r="D40" s="8" t="s">
        <v>422</v>
      </c>
      <c r="E40" s="7" t="s">
        <v>408</v>
      </c>
      <c r="F40" s="23" t="s">
        <v>537</v>
      </c>
      <c r="G40" s="4" t="s">
        <v>538</v>
      </c>
      <c r="H40" s="29">
        <v>3</v>
      </c>
      <c r="I40" s="29">
        <v>2</v>
      </c>
      <c r="J40" s="16">
        <f t="shared" si="0"/>
        <v>6</v>
      </c>
      <c r="K40" s="5" t="s">
        <v>539</v>
      </c>
      <c r="L40" s="29">
        <v>1</v>
      </c>
      <c r="M40" s="29">
        <v>1</v>
      </c>
      <c r="N40" s="16">
        <f t="shared" si="1"/>
        <v>1</v>
      </c>
      <c r="O40" s="18"/>
      <c r="P40" s="20" t="s">
        <v>426</v>
      </c>
      <c r="Q40" s="20"/>
      <c r="R40" s="20"/>
      <c r="S40" s="20"/>
      <c r="T40" s="7"/>
    </row>
    <row r="41" spans="1:20" ht="39.75" thickTop="1" thickBot="1" x14ac:dyDescent="0.25">
      <c r="A41" s="7">
        <v>4</v>
      </c>
      <c r="B41" s="8" t="s">
        <v>482</v>
      </c>
      <c r="C41" s="8"/>
      <c r="D41" s="8" t="s">
        <v>540</v>
      </c>
      <c r="E41" s="7" t="s">
        <v>408</v>
      </c>
      <c r="F41" s="23" t="s">
        <v>541</v>
      </c>
      <c r="G41" s="4" t="s">
        <v>542</v>
      </c>
      <c r="H41" s="29">
        <v>2</v>
      </c>
      <c r="I41" s="29">
        <v>2</v>
      </c>
      <c r="J41" s="16">
        <f t="shared" si="0"/>
        <v>4</v>
      </c>
      <c r="K41" s="5" t="s">
        <v>543</v>
      </c>
      <c r="L41" s="29">
        <v>1</v>
      </c>
      <c r="M41" s="29">
        <v>1</v>
      </c>
      <c r="N41" s="16">
        <f t="shared" si="1"/>
        <v>1</v>
      </c>
      <c r="O41" s="18"/>
      <c r="P41" s="23" t="s">
        <v>305</v>
      </c>
      <c r="Q41" s="23"/>
      <c r="R41" s="23"/>
      <c r="S41" s="23"/>
      <c r="T41" s="2"/>
    </row>
    <row r="42" spans="1:20" ht="52.5" thickTop="1" thickBot="1" x14ac:dyDescent="0.25">
      <c r="A42" s="7">
        <v>4</v>
      </c>
      <c r="B42" s="8" t="s">
        <v>482</v>
      </c>
      <c r="C42" s="8"/>
      <c r="D42" s="8" t="s">
        <v>427</v>
      </c>
      <c r="E42" s="7" t="s">
        <v>408</v>
      </c>
      <c r="F42" s="23" t="s">
        <v>544</v>
      </c>
      <c r="G42" s="4" t="s">
        <v>545</v>
      </c>
      <c r="H42" s="29">
        <v>2</v>
      </c>
      <c r="I42" s="29">
        <v>2</v>
      </c>
      <c r="J42" s="16">
        <f t="shared" si="0"/>
        <v>4</v>
      </c>
      <c r="K42" s="5" t="s">
        <v>546</v>
      </c>
      <c r="L42" s="29">
        <v>1</v>
      </c>
      <c r="M42" s="29">
        <v>1</v>
      </c>
      <c r="N42" s="16">
        <f t="shared" si="1"/>
        <v>1</v>
      </c>
      <c r="O42" s="18"/>
      <c r="P42" s="23" t="s">
        <v>305</v>
      </c>
      <c r="Q42" s="23"/>
      <c r="R42" s="23"/>
      <c r="S42" s="23"/>
      <c r="T42" s="2"/>
    </row>
    <row r="43" spans="1:20" ht="39.75" thickTop="1" thickBot="1" x14ac:dyDescent="0.25">
      <c r="A43" s="7">
        <v>11</v>
      </c>
      <c r="B43" s="8" t="s">
        <v>405</v>
      </c>
      <c r="C43" s="8" t="s">
        <v>547</v>
      </c>
      <c r="D43" s="8" t="s">
        <v>427</v>
      </c>
      <c r="E43" s="7" t="s">
        <v>408</v>
      </c>
      <c r="F43" s="23" t="s">
        <v>548</v>
      </c>
      <c r="G43" s="4" t="s">
        <v>549</v>
      </c>
      <c r="H43" s="29">
        <v>2</v>
      </c>
      <c r="I43" s="29">
        <v>2</v>
      </c>
      <c r="J43" s="16">
        <f t="shared" si="0"/>
        <v>4</v>
      </c>
      <c r="K43" s="5" t="s">
        <v>550</v>
      </c>
      <c r="L43" s="29">
        <v>1</v>
      </c>
      <c r="M43" s="29">
        <v>1</v>
      </c>
      <c r="N43" s="16">
        <f t="shared" si="1"/>
        <v>1</v>
      </c>
      <c r="O43" s="18"/>
      <c r="P43" s="20" t="s">
        <v>412</v>
      </c>
      <c r="Q43" s="20"/>
      <c r="R43" s="20"/>
      <c r="S43" s="20"/>
      <c r="T43" s="8"/>
    </row>
    <row r="44" spans="1:20" ht="65.25" thickTop="1" thickBot="1" x14ac:dyDescent="0.25">
      <c r="A44" s="7">
        <v>3</v>
      </c>
      <c r="B44" s="8" t="s">
        <v>27</v>
      </c>
      <c r="C44" s="8" t="s">
        <v>399</v>
      </c>
      <c r="D44" s="8" t="s">
        <v>400</v>
      </c>
      <c r="E44" s="7" t="s">
        <v>408</v>
      </c>
      <c r="F44" s="25" t="s">
        <v>551</v>
      </c>
      <c r="G44" s="4" t="s">
        <v>552</v>
      </c>
      <c r="H44" s="29">
        <v>1</v>
      </c>
      <c r="I44" s="29">
        <v>3</v>
      </c>
      <c r="J44" s="16">
        <f t="shared" si="0"/>
        <v>3</v>
      </c>
      <c r="K44" s="5" t="s">
        <v>553</v>
      </c>
      <c r="L44" s="29">
        <v>1</v>
      </c>
      <c r="M44" s="29">
        <v>1</v>
      </c>
      <c r="N44" s="16">
        <f t="shared" si="1"/>
        <v>1</v>
      </c>
      <c r="O44" s="18"/>
      <c r="P44" s="20" t="s">
        <v>47</v>
      </c>
      <c r="Q44" s="20"/>
      <c r="R44" s="28"/>
      <c r="S44" s="20"/>
      <c r="T44" s="7"/>
    </row>
    <row r="45" spans="1:20" ht="39.75" thickTop="1" thickBot="1" x14ac:dyDescent="0.25">
      <c r="A45" s="7">
        <v>5</v>
      </c>
      <c r="B45" s="8" t="s">
        <v>12</v>
      </c>
      <c r="C45" s="8"/>
      <c r="D45" s="8" t="s">
        <v>427</v>
      </c>
      <c r="E45" s="7" t="s">
        <v>408</v>
      </c>
      <c r="F45" s="23" t="s">
        <v>554</v>
      </c>
      <c r="G45" s="4" t="s">
        <v>555</v>
      </c>
      <c r="H45" s="29">
        <v>1</v>
      </c>
      <c r="I45" s="29">
        <v>3</v>
      </c>
      <c r="J45" s="16">
        <f t="shared" si="0"/>
        <v>3</v>
      </c>
      <c r="K45" s="5" t="s">
        <v>556</v>
      </c>
      <c r="L45" s="29">
        <v>1</v>
      </c>
      <c r="M45" s="29">
        <v>1</v>
      </c>
      <c r="N45" s="16">
        <f t="shared" si="1"/>
        <v>1</v>
      </c>
      <c r="O45" s="18"/>
      <c r="P45" s="23" t="s">
        <v>450</v>
      </c>
      <c r="Q45" s="23"/>
      <c r="R45" s="23"/>
      <c r="S45" s="23"/>
      <c r="T45" s="2"/>
    </row>
    <row r="46" spans="1:20" ht="39.75" thickTop="1" thickBot="1" x14ac:dyDescent="0.25">
      <c r="A46" s="7">
        <v>8</v>
      </c>
      <c r="B46" s="8" t="s">
        <v>495</v>
      </c>
      <c r="C46" s="8" t="s">
        <v>557</v>
      </c>
      <c r="D46" s="8" t="s">
        <v>64</v>
      </c>
      <c r="E46" s="7" t="s">
        <v>408</v>
      </c>
      <c r="F46" s="23" t="s">
        <v>558</v>
      </c>
      <c r="G46" s="4" t="s">
        <v>559</v>
      </c>
      <c r="H46" s="29">
        <v>1</v>
      </c>
      <c r="I46" s="29">
        <v>3</v>
      </c>
      <c r="J46" s="16">
        <f t="shared" si="0"/>
        <v>3</v>
      </c>
      <c r="K46" s="5" t="s">
        <v>560</v>
      </c>
      <c r="L46" s="29">
        <v>1</v>
      </c>
      <c r="M46" s="29">
        <v>1</v>
      </c>
      <c r="N46" s="16">
        <f t="shared" si="1"/>
        <v>1</v>
      </c>
      <c r="O46" s="18"/>
      <c r="P46" s="20" t="s">
        <v>106</v>
      </c>
      <c r="Q46" s="20"/>
      <c r="R46" s="20"/>
      <c r="S46" s="20"/>
      <c r="T46" s="7" t="s">
        <v>561</v>
      </c>
    </row>
    <row r="47" spans="1:20" ht="90.75" thickTop="1" thickBot="1" x14ac:dyDescent="0.25">
      <c r="A47" s="7">
        <v>8</v>
      </c>
      <c r="B47" s="8" t="s">
        <v>495</v>
      </c>
      <c r="C47" s="8" t="s">
        <v>562</v>
      </c>
      <c r="D47" s="8" t="s">
        <v>427</v>
      </c>
      <c r="E47" s="7" t="s">
        <v>408</v>
      </c>
      <c r="F47" s="23" t="s">
        <v>563</v>
      </c>
      <c r="G47" s="4" t="s">
        <v>564</v>
      </c>
      <c r="H47" s="29">
        <v>1</v>
      </c>
      <c r="I47" s="29">
        <v>3</v>
      </c>
      <c r="J47" s="16">
        <f t="shared" si="0"/>
        <v>3</v>
      </c>
      <c r="K47" s="5" t="s">
        <v>565</v>
      </c>
      <c r="L47" s="29">
        <v>1</v>
      </c>
      <c r="M47" s="29">
        <v>1</v>
      </c>
      <c r="N47" s="16">
        <f t="shared" si="1"/>
        <v>1</v>
      </c>
      <c r="O47" s="18"/>
      <c r="P47" s="20" t="s">
        <v>106</v>
      </c>
      <c r="Q47" s="20"/>
      <c r="R47" s="20"/>
      <c r="S47" s="20"/>
      <c r="T47" s="7"/>
    </row>
    <row r="48" spans="1:20" ht="39.75" thickTop="1" thickBot="1" x14ac:dyDescent="0.25">
      <c r="A48" s="7">
        <v>5</v>
      </c>
      <c r="B48" s="8" t="s">
        <v>12</v>
      </c>
      <c r="C48" s="8"/>
      <c r="D48" s="8" t="s">
        <v>427</v>
      </c>
      <c r="E48" s="7" t="s">
        <v>408</v>
      </c>
      <c r="F48" s="23" t="s">
        <v>566</v>
      </c>
      <c r="G48" s="4" t="s">
        <v>567</v>
      </c>
      <c r="H48" s="29">
        <v>1</v>
      </c>
      <c r="I48" s="29">
        <v>2</v>
      </c>
      <c r="J48" s="16">
        <f t="shared" si="0"/>
        <v>2</v>
      </c>
      <c r="K48" s="5" t="s">
        <v>568</v>
      </c>
      <c r="L48" s="29">
        <v>1</v>
      </c>
      <c r="M48" s="29">
        <v>1</v>
      </c>
      <c r="N48" s="16">
        <f t="shared" si="1"/>
        <v>1</v>
      </c>
      <c r="O48" s="18"/>
      <c r="P48" s="23" t="s">
        <v>569</v>
      </c>
      <c r="Q48" s="23"/>
      <c r="R48" s="23"/>
      <c r="S48" s="23"/>
      <c r="T48" s="2"/>
    </row>
    <row r="49" spans="1:20" ht="27" thickTop="1" thickBot="1" x14ac:dyDescent="0.25">
      <c r="A49" s="7">
        <v>8</v>
      </c>
      <c r="B49" s="8" t="s">
        <v>495</v>
      </c>
      <c r="C49" s="8" t="s">
        <v>496</v>
      </c>
      <c r="D49" s="8" t="s">
        <v>570</v>
      </c>
      <c r="E49" s="7" t="s">
        <v>408</v>
      </c>
      <c r="F49" s="23" t="s">
        <v>571</v>
      </c>
      <c r="G49" s="4" t="s">
        <v>572</v>
      </c>
      <c r="H49" s="29">
        <v>1</v>
      </c>
      <c r="I49" s="29">
        <v>2</v>
      </c>
      <c r="J49" s="16">
        <f t="shared" si="0"/>
        <v>2</v>
      </c>
      <c r="K49" s="5" t="s">
        <v>573</v>
      </c>
      <c r="L49" s="29">
        <v>1</v>
      </c>
      <c r="M49" s="29">
        <v>1</v>
      </c>
      <c r="N49" s="16">
        <f t="shared" si="1"/>
        <v>1</v>
      </c>
      <c r="O49" s="18"/>
      <c r="P49" s="20" t="s">
        <v>106</v>
      </c>
      <c r="Q49" s="20"/>
      <c r="R49" s="20"/>
      <c r="S49" s="20"/>
      <c r="T49" s="7"/>
    </row>
    <row r="50" spans="1:20" ht="39.75" thickTop="1" thickBot="1" x14ac:dyDescent="0.25">
      <c r="A50" s="7">
        <v>11</v>
      </c>
      <c r="B50" s="8" t="s">
        <v>405</v>
      </c>
      <c r="C50" s="8" t="s">
        <v>574</v>
      </c>
      <c r="D50" s="8" t="s">
        <v>427</v>
      </c>
      <c r="E50" s="7" t="s">
        <v>408</v>
      </c>
      <c r="F50" s="23" t="s">
        <v>575</v>
      </c>
      <c r="G50" s="4" t="s">
        <v>576</v>
      </c>
      <c r="H50" s="29">
        <v>1</v>
      </c>
      <c r="I50" s="29">
        <v>2</v>
      </c>
      <c r="J50" s="16">
        <f t="shared" si="0"/>
        <v>2</v>
      </c>
      <c r="K50" s="5" t="s">
        <v>577</v>
      </c>
      <c r="L50" s="29">
        <v>1</v>
      </c>
      <c r="M50" s="29">
        <v>1</v>
      </c>
      <c r="N50" s="16">
        <f t="shared" si="1"/>
        <v>1</v>
      </c>
      <c r="O50" s="18"/>
      <c r="P50" s="20" t="s">
        <v>412</v>
      </c>
      <c r="Q50" s="20"/>
      <c r="R50" s="20"/>
      <c r="S50" s="20"/>
      <c r="T50" s="8"/>
    </row>
    <row r="51" spans="1:20" ht="65.25" thickTop="1" thickBot="1" x14ac:dyDescent="0.25">
      <c r="A51" s="7">
        <v>11</v>
      </c>
      <c r="B51" s="8" t="s">
        <v>405</v>
      </c>
      <c r="C51" s="8" t="s">
        <v>406</v>
      </c>
      <c r="D51" s="8" t="s">
        <v>407</v>
      </c>
      <c r="E51" s="7" t="s">
        <v>408</v>
      </c>
      <c r="F51" s="23" t="s">
        <v>578</v>
      </c>
      <c r="G51" s="4" t="s">
        <v>410</v>
      </c>
      <c r="H51" s="29">
        <v>1</v>
      </c>
      <c r="I51" s="29">
        <v>1</v>
      </c>
      <c r="J51" s="16">
        <f t="shared" si="0"/>
        <v>1</v>
      </c>
      <c r="K51" s="5" t="s">
        <v>579</v>
      </c>
      <c r="L51" s="29">
        <v>1</v>
      </c>
      <c r="M51" s="29">
        <v>1</v>
      </c>
      <c r="N51" s="16">
        <f t="shared" si="1"/>
        <v>1</v>
      </c>
      <c r="O51" s="18"/>
      <c r="P51" s="20" t="s">
        <v>580</v>
      </c>
      <c r="Q51" s="20"/>
      <c r="R51" s="20"/>
      <c r="S51" s="20"/>
      <c r="T51" s="8"/>
    </row>
    <row r="52" spans="1:20" ht="13.5" thickTop="1" x14ac:dyDescent="0.2">
      <c r="E52" s="19" t="s">
        <v>581</v>
      </c>
      <c r="G52" s="6">
        <f>COUNTA(G8:G51)</f>
        <v>44</v>
      </c>
    </row>
  </sheetData>
  <autoFilter ref="A6:T52" xr:uid="{00000000-0009-0000-0000-000007000000}">
    <filterColumn colId="7" showButton="0"/>
    <filterColumn colId="11" showButton="0"/>
    <sortState xmlns:xlrd2="http://schemas.microsoft.com/office/spreadsheetml/2017/richdata2" ref="A9:T52">
      <sortCondition descending="1" ref="N6:N7"/>
    </sortState>
  </autoFilter>
  <mergeCells count="12">
    <mergeCell ref="A6:A7"/>
    <mergeCell ref="B6:B7"/>
    <mergeCell ref="F6:F7"/>
    <mergeCell ref="G6:G7"/>
    <mergeCell ref="C6:C7"/>
    <mergeCell ref="H6:I6"/>
    <mergeCell ref="J6:J7"/>
    <mergeCell ref="P6:P7"/>
    <mergeCell ref="K6:K7"/>
    <mergeCell ref="L6:M6"/>
    <mergeCell ref="N6:N7"/>
    <mergeCell ref="O6:O7"/>
  </mergeCells>
  <phoneticPr fontId="0" type="noConversion"/>
  <conditionalFormatting sqref="H8:J20 L8:M20">
    <cfRule type="cellIs" dxfId="87" priority="23" stopIfTrue="1" operator="equal">
      <formula>"M"</formula>
    </cfRule>
    <cfRule type="cellIs" dxfId="86" priority="24" stopIfTrue="1" operator="equal">
      <formula>"L"</formula>
    </cfRule>
    <cfRule type="cellIs" dxfId="85" priority="22" stopIfTrue="1" operator="equal">
      <formula>"H"</formula>
    </cfRule>
  </conditionalFormatting>
  <conditionalFormatting sqref="H20:J20 L20:M20">
    <cfRule type="colorScale" priority="21">
      <colorScale>
        <cfvo type="num" val="1"/>
        <cfvo type="num" val="2"/>
        <cfvo type="num" val="3"/>
        <color rgb="FF92D050"/>
        <color rgb="FFFFFF00"/>
        <color rgb="FFFF0000"/>
      </colorScale>
    </cfRule>
  </conditionalFormatting>
  <conditionalFormatting sqref="H21:J22 L21:M22 H24:J25 L24:M25 H38:J42 L38:M42 H45:J51 L45:M51">
    <cfRule type="cellIs" dxfId="84" priority="89" stopIfTrue="1" operator="equal">
      <formula>"M"</formula>
    </cfRule>
    <cfRule type="cellIs" dxfId="83" priority="90" stopIfTrue="1" operator="equal">
      <formula>"L"</formula>
    </cfRule>
  </conditionalFormatting>
  <conditionalFormatting sqref="H21:J22 L21:M22 H24:J25 L24:M25 H45:J51 L45:M51 H38:J42 L38:M42">
    <cfRule type="cellIs" dxfId="82" priority="88" stopIfTrue="1" operator="equal">
      <formula>"H"</formula>
    </cfRule>
  </conditionalFormatting>
  <conditionalFormatting sqref="H21:J22 L21:M22 L45:M51 H45:J51 L24:M25 H24:J25 H8:J19 L8:M19">
    <cfRule type="colorScale" priority="87">
      <colorScale>
        <cfvo type="num" val="1"/>
        <cfvo type="num" val="2"/>
        <cfvo type="num" val="3"/>
        <color rgb="FF92D050"/>
        <color rgb="FFFFFF00"/>
        <color rgb="FFFF0000"/>
      </colorScale>
    </cfRule>
  </conditionalFormatting>
  <conditionalFormatting sqref="H23:J23 L23:M23 H32:J32 L32:M32">
    <cfRule type="cellIs" dxfId="81" priority="80" stopIfTrue="1" operator="equal">
      <formula>"L"</formula>
    </cfRule>
    <cfRule type="cellIs" dxfId="80" priority="79" stopIfTrue="1" operator="equal">
      <formula>"M"</formula>
    </cfRule>
    <cfRule type="cellIs" dxfId="79" priority="78" stopIfTrue="1" operator="equal">
      <formula>"H"</formula>
    </cfRule>
  </conditionalFormatting>
  <conditionalFormatting sqref="H26:J26 L26:M26">
    <cfRule type="cellIs" dxfId="78" priority="7" stopIfTrue="1" operator="equal">
      <formula>"M"</formula>
    </cfRule>
    <cfRule type="cellIs" dxfId="77" priority="8" stopIfTrue="1" operator="equal">
      <formula>"L"</formula>
    </cfRule>
    <cfRule type="cellIs" dxfId="76" priority="6" stopIfTrue="1" operator="equal">
      <formula>"H"</formula>
    </cfRule>
  </conditionalFormatting>
  <conditionalFormatting sqref="H27:J28 L27:M28">
    <cfRule type="cellIs" dxfId="75" priority="72" stopIfTrue="1" operator="equal">
      <formula>"L"</formula>
    </cfRule>
    <cfRule type="cellIs" dxfId="74" priority="71" stopIfTrue="1" operator="equal">
      <formula>"M"</formula>
    </cfRule>
    <cfRule type="cellIs" dxfId="73" priority="70" stopIfTrue="1" operator="equal">
      <formula>"H"</formula>
    </cfRule>
  </conditionalFormatting>
  <conditionalFormatting sqref="H29:J29 L29:M29">
    <cfRule type="cellIs" dxfId="72" priority="63" stopIfTrue="1" operator="equal">
      <formula>"M"</formula>
    </cfRule>
    <cfRule type="cellIs" dxfId="71" priority="62" stopIfTrue="1" operator="equal">
      <formula>"H"</formula>
    </cfRule>
    <cfRule type="cellIs" dxfId="70" priority="64" stopIfTrue="1" operator="equal">
      <formula>"L"</formula>
    </cfRule>
  </conditionalFormatting>
  <conditionalFormatting sqref="H30:J31 L30:M31">
    <cfRule type="cellIs" dxfId="69" priority="54" stopIfTrue="1" operator="equal">
      <formula>"H"</formula>
    </cfRule>
    <cfRule type="cellIs" dxfId="68" priority="56" stopIfTrue="1" operator="equal">
      <formula>"L"</formula>
    </cfRule>
    <cfRule type="cellIs" dxfId="67" priority="55" stopIfTrue="1" operator="equal">
      <formula>"M"</formula>
    </cfRule>
  </conditionalFormatting>
  <conditionalFormatting sqref="H33:J34 L33:M34 H36:J37 L36:M37">
    <cfRule type="cellIs" dxfId="66" priority="48" stopIfTrue="1" operator="equal">
      <formula>"L"</formula>
    </cfRule>
    <cfRule type="cellIs" dxfId="65" priority="47" stopIfTrue="1" operator="equal">
      <formula>"M"</formula>
    </cfRule>
    <cfRule type="cellIs" dxfId="64" priority="46" stopIfTrue="1" operator="equal">
      <formula>"H"</formula>
    </cfRule>
  </conditionalFormatting>
  <conditionalFormatting sqref="H35:J35 L35:M35">
    <cfRule type="colorScale" priority="13">
      <colorScale>
        <cfvo type="num" val="1"/>
        <cfvo type="num" val="2"/>
        <cfvo type="num" val="3"/>
        <color rgb="FF92D050"/>
        <color rgb="FFFFFF00"/>
        <color rgb="FFFF0000"/>
      </colorScale>
    </cfRule>
    <cfRule type="cellIs" dxfId="63" priority="14" stopIfTrue="1" operator="equal">
      <formula>"H"</formula>
    </cfRule>
    <cfRule type="cellIs" dxfId="62" priority="15" stopIfTrue="1" operator="equal">
      <formula>"M"</formula>
    </cfRule>
    <cfRule type="cellIs" dxfId="61" priority="16" stopIfTrue="1" operator="equal">
      <formula>"L"</formula>
    </cfRule>
  </conditionalFormatting>
  <conditionalFormatting sqref="H43:J43 L43:M43">
    <cfRule type="colorScale" priority="37">
      <colorScale>
        <cfvo type="num" val="1"/>
        <cfvo type="num" val="2"/>
        <cfvo type="num" val="3"/>
        <color rgb="FF92D050"/>
        <color rgb="FFFFFF00"/>
        <color rgb="FFFF0000"/>
      </colorScale>
    </cfRule>
    <cfRule type="cellIs" dxfId="60" priority="39" stopIfTrue="1" operator="equal">
      <formula>"M"</formula>
    </cfRule>
    <cfRule type="cellIs" dxfId="59" priority="40" stopIfTrue="1" operator="equal">
      <formula>"L"</formula>
    </cfRule>
    <cfRule type="cellIs" dxfId="58" priority="38" stopIfTrue="1" operator="equal">
      <formula>"H"</formula>
    </cfRule>
  </conditionalFormatting>
  <conditionalFormatting sqref="H44:J44 L44:M44">
    <cfRule type="colorScale" priority="29">
      <colorScale>
        <cfvo type="num" val="1"/>
        <cfvo type="num" val="2"/>
        <cfvo type="num" val="3"/>
        <color rgb="FF92D050"/>
        <color rgb="FFFFFF00"/>
        <color rgb="FFFF0000"/>
      </colorScale>
    </cfRule>
    <cfRule type="cellIs" dxfId="57" priority="30" stopIfTrue="1" operator="equal">
      <formula>"H"</formula>
    </cfRule>
    <cfRule type="cellIs" dxfId="56" priority="31" stopIfTrue="1" operator="equal">
      <formula>"M"</formula>
    </cfRule>
    <cfRule type="cellIs" dxfId="55" priority="32" stopIfTrue="1" operator="equal">
      <formula>"L"</formula>
    </cfRule>
  </conditionalFormatting>
  <conditionalFormatting sqref="J8:J19 N8:N19 N21:N22 J22 N24:N25 J25 J32 N32 J38:J42 N38:N42 J45:J51 N45:N51">
    <cfRule type="cellIs" dxfId="54" priority="85" operator="between">
      <formula>1</formula>
      <formula>2</formula>
    </cfRule>
  </conditionalFormatting>
  <conditionalFormatting sqref="J23 N23">
    <cfRule type="colorScale" priority="73">
      <colorScale>
        <cfvo type="num" val="1.2"/>
        <cfvo type="num" val="3.4"/>
        <cfvo type="num" val="6.9"/>
        <color rgb="FF92D050"/>
        <color rgb="FFFFEB84"/>
        <color rgb="FFFF0000"/>
      </colorScale>
    </cfRule>
    <cfRule type="colorScale" priority="74">
      <colorScale>
        <cfvo type="formula" val="1.2"/>
        <cfvo type="formula" val="3.4"/>
        <cfvo type="formula" val="6.9"/>
        <color rgb="FF92D050"/>
        <color rgb="FFFFFF00"/>
        <color rgb="FFFF0000"/>
      </colorScale>
    </cfRule>
    <cfRule type="cellIs" dxfId="53" priority="75" operator="between">
      <formula>1</formula>
      <formula>2</formula>
    </cfRule>
    <cfRule type="colorScale" priority="76">
      <colorScale>
        <cfvo type="formula" val="&quot;&lt;3&quot;"/>
        <cfvo type="formula" val="&quot;je mezi 4-6&quot;"/>
        <cfvo type="formula" val="&quot;&gt;6&quot;"/>
        <color rgb="FF92D050"/>
        <color rgb="FFFFFF00"/>
        <color rgb="FFFF0000"/>
      </colorScale>
    </cfRule>
  </conditionalFormatting>
  <conditionalFormatting sqref="J26 N26">
    <cfRule type="cellIs" dxfId="52" priority="3" operator="between">
      <formula>1</formula>
      <formula>2</formula>
    </cfRule>
    <cfRule type="colorScale" priority="4">
      <colorScale>
        <cfvo type="formula" val="&quot;&lt;3&quot;"/>
        <cfvo type="formula" val="&quot;je mezi 4-6&quot;"/>
        <cfvo type="formula" val="&quot;&gt;6&quot;"/>
        <color rgb="FF92D050"/>
        <color rgb="FFFFFF00"/>
        <color rgb="FFFF0000"/>
      </colorScale>
    </cfRule>
    <cfRule type="colorScale" priority="1">
      <colorScale>
        <cfvo type="num" val="1.2"/>
        <cfvo type="num" val="3.4"/>
        <cfvo type="num" val="6.9"/>
        <color rgb="FF92D050"/>
        <color rgb="FFFFEB84"/>
        <color rgb="FFFF0000"/>
      </colorScale>
    </cfRule>
    <cfRule type="colorScale" priority="2">
      <colorScale>
        <cfvo type="formula" val="1.2"/>
        <cfvo type="formula" val="3.4"/>
        <cfvo type="formula" val="6.9"/>
        <color rgb="FF92D050"/>
        <color rgb="FFFFFF00"/>
        <color rgb="FFFF0000"/>
      </colorScale>
    </cfRule>
  </conditionalFormatting>
  <conditionalFormatting sqref="J27:J28 N27:N28">
    <cfRule type="colorScale" priority="68">
      <colorScale>
        <cfvo type="formula" val="&quot;&lt;3&quot;"/>
        <cfvo type="formula" val="&quot;je mezi 4-6&quot;"/>
        <cfvo type="formula" val="&quot;&gt;6&quot;"/>
        <color rgb="FF92D050"/>
        <color rgb="FFFFFF00"/>
        <color rgb="FFFF0000"/>
      </colorScale>
    </cfRule>
    <cfRule type="colorScale" priority="66">
      <colorScale>
        <cfvo type="formula" val="1.2"/>
        <cfvo type="formula" val="3.4"/>
        <cfvo type="formula" val="6.9"/>
        <color rgb="FF92D050"/>
        <color rgb="FFFFFF00"/>
        <color rgb="FFFF0000"/>
      </colorScale>
    </cfRule>
    <cfRule type="cellIs" dxfId="51" priority="67" operator="between">
      <formula>1</formula>
      <formula>2</formula>
    </cfRule>
  </conditionalFormatting>
  <conditionalFormatting sqref="J29 N29">
    <cfRule type="colorScale" priority="58">
      <colorScale>
        <cfvo type="formula" val="1.2"/>
        <cfvo type="formula" val="3.4"/>
        <cfvo type="formula" val="6.9"/>
        <color rgb="FF92D050"/>
        <color rgb="FFFFFF00"/>
        <color rgb="FFFF0000"/>
      </colorScale>
    </cfRule>
    <cfRule type="cellIs" dxfId="50" priority="59" operator="between">
      <formula>1</formula>
      <formula>2</formula>
    </cfRule>
    <cfRule type="colorScale" priority="60">
      <colorScale>
        <cfvo type="formula" val="&quot;&lt;3&quot;"/>
        <cfvo type="formula" val="&quot;je mezi 4-6&quot;"/>
        <cfvo type="formula" val="&quot;&gt;6&quot;"/>
        <color rgb="FF92D050"/>
        <color rgb="FFFFFF00"/>
        <color rgb="FFFF0000"/>
      </colorScale>
    </cfRule>
    <cfRule type="colorScale" priority="57">
      <colorScale>
        <cfvo type="num" val="1.2"/>
        <cfvo type="num" val="3.4"/>
        <cfvo type="num" val="6.9"/>
        <color rgb="FF92D050"/>
        <color rgb="FFFFEB84"/>
        <color rgb="FFFF0000"/>
      </colorScale>
    </cfRule>
  </conditionalFormatting>
  <conditionalFormatting sqref="J30:J31 N30:N31">
    <cfRule type="colorScale" priority="49">
      <colorScale>
        <cfvo type="num" val="1.2"/>
        <cfvo type="num" val="3.4"/>
        <cfvo type="num" val="6.9"/>
        <color rgb="FF92D050"/>
        <color rgb="FFFFEB84"/>
        <color rgb="FFFF0000"/>
      </colorScale>
    </cfRule>
    <cfRule type="colorScale" priority="50">
      <colorScale>
        <cfvo type="formula" val="1.2"/>
        <cfvo type="formula" val="3.4"/>
        <cfvo type="formula" val="6.9"/>
        <color rgb="FF92D050"/>
        <color rgb="FFFFFF00"/>
        <color rgb="FFFF0000"/>
      </colorScale>
    </cfRule>
    <cfRule type="cellIs" dxfId="49" priority="51" operator="between">
      <formula>1</formula>
      <formula>2</formula>
    </cfRule>
    <cfRule type="colorScale" priority="52">
      <colorScale>
        <cfvo type="formula" val="&quot;&lt;3&quot;"/>
        <cfvo type="formula" val="&quot;je mezi 4-6&quot;"/>
        <cfvo type="formula" val="&quot;&gt;6&quot;"/>
        <color rgb="FF92D050"/>
        <color rgb="FFFFFF00"/>
        <color rgb="FFFF0000"/>
      </colorScale>
    </cfRule>
  </conditionalFormatting>
  <conditionalFormatting sqref="J32 N32 J22 N38:N42 J38:J42 N21:N22 J45:J51 N45:N51 J25 N24:N25 J8:J19 N8:N19">
    <cfRule type="colorScale" priority="86">
      <colorScale>
        <cfvo type="formula" val="&quot;&lt;3&quot;"/>
        <cfvo type="formula" val="&quot;je mezi 4-6&quot;"/>
        <cfvo type="formula" val="&quot;&gt;6&quot;"/>
        <color rgb="FF92D050"/>
        <color rgb="FFFFFF00"/>
        <color rgb="FFFF0000"/>
      </colorScale>
    </cfRule>
    <cfRule type="colorScale" priority="84">
      <colorScale>
        <cfvo type="formula" val="1.2"/>
        <cfvo type="formula" val="3.4"/>
        <cfvo type="formula" val="6.9"/>
        <color rgb="FF92D050"/>
        <color rgb="FFFFFF00"/>
        <color rgb="FFFF0000"/>
      </colorScale>
    </cfRule>
  </conditionalFormatting>
  <conditionalFormatting sqref="J33:J34 N33:N34 J36:J37 N36:N37">
    <cfRule type="cellIs" dxfId="48" priority="43" operator="between">
      <formula>1</formula>
      <formula>2</formula>
    </cfRule>
  </conditionalFormatting>
  <conditionalFormatting sqref="J33:J34 N33:N34 N36:N37 J36:J37">
    <cfRule type="colorScale" priority="44">
      <colorScale>
        <cfvo type="formula" val="&quot;&lt;3&quot;"/>
        <cfvo type="formula" val="&quot;je mezi 4-6&quot;"/>
        <cfvo type="formula" val="&quot;&gt;6&quot;"/>
        <color rgb="FF92D050"/>
        <color rgb="FFFFFF00"/>
        <color rgb="FFFF0000"/>
      </colorScale>
    </cfRule>
    <cfRule type="colorScale" priority="42">
      <colorScale>
        <cfvo type="formula" val="1.2"/>
        <cfvo type="formula" val="3.4"/>
        <cfvo type="formula" val="6.9"/>
        <color rgb="FF92D050"/>
        <color rgb="FFFFFF00"/>
        <color rgb="FFFF0000"/>
      </colorScale>
    </cfRule>
    <cfRule type="colorScale" priority="41">
      <colorScale>
        <cfvo type="num" val="1.2"/>
        <cfvo type="num" val="3.4"/>
        <cfvo type="num" val="6.9"/>
        <color rgb="FF92D050"/>
        <color rgb="FFFFEB84"/>
        <color rgb="FFFF0000"/>
      </colorScale>
    </cfRule>
  </conditionalFormatting>
  <conditionalFormatting sqref="J35 N35">
    <cfRule type="cellIs" dxfId="47" priority="11" operator="between">
      <formula>1</formula>
      <formula>2</formula>
    </cfRule>
  </conditionalFormatting>
  <conditionalFormatting sqref="J43 N43">
    <cfRule type="cellIs" dxfId="46" priority="35" operator="between">
      <formula>1</formula>
      <formula>2</formula>
    </cfRule>
  </conditionalFormatting>
  <conditionalFormatting sqref="J44 N44">
    <cfRule type="cellIs" dxfId="45" priority="27" operator="between">
      <formula>1</formula>
      <formula>2</formula>
    </cfRule>
  </conditionalFormatting>
  <conditionalFormatting sqref="L23:M23 H23:J23 L38:M42 H38:J42 L32:M32 H32:J32">
    <cfRule type="colorScale" priority="77">
      <colorScale>
        <cfvo type="num" val="1"/>
        <cfvo type="num" val="2"/>
        <cfvo type="num" val="3"/>
        <color rgb="FF92D050"/>
        <color rgb="FFFFFF00"/>
        <color rgb="FFFF0000"/>
      </colorScale>
    </cfRule>
  </conditionalFormatting>
  <conditionalFormatting sqref="L26:M26 H26:J26">
    <cfRule type="colorScale" priority="5">
      <colorScale>
        <cfvo type="num" val="1"/>
        <cfvo type="num" val="2"/>
        <cfvo type="num" val="3"/>
        <color rgb="FF92D050"/>
        <color rgb="FFFFFF00"/>
        <color rgb="FFFF0000"/>
      </colorScale>
    </cfRule>
  </conditionalFormatting>
  <conditionalFormatting sqref="L27:M28 H27:J28">
    <cfRule type="colorScale" priority="69">
      <colorScale>
        <cfvo type="num" val="1"/>
        <cfvo type="num" val="2"/>
        <cfvo type="num" val="3"/>
        <color rgb="FF92D050"/>
        <color rgb="FFFFFF00"/>
        <color rgb="FFFF0000"/>
      </colorScale>
    </cfRule>
  </conditionalFormatting>
  <conditionalFormatting sqref="L29:M29 H29:J29">
    <cfRule type="colorScale" priority="61">
      <colorScale>
        <cfvo type="num" val="1"/>
        <cfvo type="num" val="2"/>
        <cfvo type="num" val="3"/>
        <color rgb="FF92D050"/>
        <color rgb="FFFFFF00"/>
        <color rgb="FFFF0000"/>
      </colorScale>
    </cfRule>
  </conditionalFormatting>
  <conditionalFormatting sqref="L30:M31 H30:J31">
    <cfRule type="colorScale" priority="53">
      <colorScale>
        <cfvo type="num" val="1"/>
        <cfvo type="num" val="2"/>
        <cfvo type="num" val="3"/>
        <color rgb="FF92D050"/>
        <color rgb="FFFFFF00"/>
        <color rgb="FFFF0000"/>
      </colorScale>
    </cfRule>
  </conditionalFormatting>
  <conditionalFormatting sqref="L33:M34 H33:J34 H36:J37 L36:M37">
    <cfRule type="colorScale" priority="45">
      <colorScale>
        <cfvo type="num" val="1"/>
        <cfvo type="num" val="2"/>
        <cfvo type="num" val="3"/>
        <color rgb="FF92D050"/>
        <color rgb="FFFFFF00"/>
        <color rgb="FFFF0000"/>
      </colorScale>
    </cfRule>
  </conditionalFormatting>
  <conditionalFormatting sqref="N14:N15 N19 J19 J14:J15">
    <cfRule type="colorScale" priority="83">
      <colorScale>
        <cfvo type="formula" val="1.2"/>
        <cfvo type="formula" val="3.4"/>
        <cfvo type="formula" val="6.9"/>
        <color rgb="FF92D050"/>
        <color rgb="FFFFFF00"/>
        <color rgb="FFFF0000"/>
      </colorScale>
    </cfRule>
  </conditionalFormatting>
  <conditionalFormatting sqref="N20 J20">
    <cfRule type="colorScale" priority="17">
      <colorScale>
        <cfvo type="num" val="1.2"/>
        <cfvo type="num" val="3.4"/>
        <cfvo type="num" val="6.9"/>
        <color rgb="FF92D050"/>
        <color rgb="FFFFEB84"/>
        <color rgb="FFFF0000"/>
      </colorScale>
    </cfRule>
  </conditionalFormatting>
  <conditionalFormatting sqref="N20">
    <cfRule type="cellIs" dxfId="44" priority="19" operator="between">
      <formula>1</formula>
      <formula>2</formula>
    </cfRule>
    <cfRule type="colorScale" priority="18">
      <colorScale>
        <cfvo type="formula" val="1.2"/>
        <cfvo type="formula" val="3.4"/>
        <cfvo type="formula" val="6.9"/>
        <color rgb="FF92D050"/>
        <color rgb="FFFFFF00"/>
        <color rgb="FFFF0000"/>
      </colorScale>
    </cfRule>
    <cfRule type="colorScale" priority="20">
      <colorScale>
        <cfvo type="formula" val="&quot;&lt;3&quot;"/>
        <cfvo type="formula" val="&quot;je mezi 4-6&quot;"/>
        <cfvo type="formula" val="&quot;&gt;6&quot;"/>
        <color rgb="FF92D050"/>
        <color rgb="FFFFFF00"/>
        <color rgb="FFFF0000"/>
      </colorScale>
    </cfRule>
  </conditionalFormatting>
  <conditionalFormatting sqref="N27:N28 J27:J28">
    <cfRule type="colorScale" priority="65">
      <colorScale>
        <cfvo type="num" val="1.2"/>
        <cfvo type="num" val="3.4"/>
        <cfvo type="num" val="6.9"/>
        <color rgb="FF92D050"/>
        <color rgb="FFFFEB84"/>
        <color rgb="FFFF0000"/>
      </colorScale>
    </cfRule>
  </conditionalFormatting>
  <conditionalFormatting sqref="N35 J35">
    <cfRule type="colorScale" priority="12">
      <colorScale>
        <cfvo type="formula" val="&quot;&lt;3&quot;"/>
        <cfvo type="formula" val="&quot;je mezi 4-6&quot;"/>
        <cfvo type="formula" val="&quot;&gt;6&quot;"/>
        <color rgb="FF92D050"/>
        <color rgb="FFFFFF00"/>
        <color rgb="FFFF0000"/>
      </colorScale>
    </cfRule>
    <cfRule type="colorScale" priority="9">
      <colorScale>
        <cfvo type="num" val="1.2"/>
        <cfvo type="num" val="3.4"/>
        <cfvo type="num" val="6.9"/>
        <color rgb="FF92D050"/>
        <color rgb="FFFFEB84"/>
        <color rgb="FFFF0000"/>
      </colorScale>
    </cfRule>
    <cfRule type="colorScale" priority="10">
      <colorScale>
        <cfvo type="formula" val="1.2"/>
        <cfvo type="formula" val="3.4"/>
        <cfvo type="formula" val="6.9"/>
        <color rgb="FF92D050"/>
        <color rgb="FFFFFF00"/>
        <color rgb="FFFF0000"/>
      </colorScale>
    </cfRule>
  </conditionalFormatting>
  <conditionalFormatting sqref="N38:N42 J38:J42 J32 N32 J8:J19 N8:N19">
    <cfRule type="colorScale" priority="81">
      <colorScale>
        <cfvo type="num" val="1.2"/>
        <cfvo type="num" val="3.4"/>
        <cfvo type="num" val="6.9"/>
        <color rgb="FF92D050"/>
        <color rgb="FFFFEB84"/>
        <color rgb="FFFF0000"/>
      </colorScale>
    </cfRule>
  </conditionalFormatting>
  <conditionalFormatting sqref="N43 J43">
    <cfRule type="colorScale" priority="36">
      <colorScale>
        <cfvo type="formula" val="&quot;&lt;3&quot;"/>
        <cfvo type="formula" val="&quot;je mezi 4-6&quot;"/>
        <cfvo type="formula" val="&quot;&gt;6&quot;"/>
        <color rgb="FF92D050"/>
        <color rgb="FFFFFF00"/>
        <color rgb="FFFF0000"/>
      </colorScale>
    </cfRule>
    <cfRule type="colorScale" priority="33">
      <colorScale>
        <cfvo type="num" val="1.2"/>
        <cfvo type="num" val="3.4"/>
        <cfvo type="num" val="6.9"/>
        <color rgb="FF92D050"/>
        <color rgb="FFFFEB84"/>
        <color rgb="FFFF0000"/>
      </colorScale>
    </cfRule>
    <cfRule type="colorScale" priority="34">
      <colorScale>
        <cfvo type="formula" val="1.2"/>
        <cfvo type="formula" val="3.4"/>
        <cfvo type="formula" val="6.9"/>
        <color rgb="FF92D050"/>
        <color rgb="FFFFFF00"/>
        <color rgb="FFFF0000"/>
      </colorScale>
    </cfRule>
  </conditionalFormatting>
  <conditionalFormatting sqref="N44 J44">
    <cfRule type="colorScale" priority="26">
      <colorScale>
        <cfvo type="formula" val="1.2"/>
        <cfvo type="formula" val="3.4"/>
        <cfvo type="formula" val="6.9"/>
        <color rgb="FF92D050"/>
        <color rgb="FFFFFF00"/>
        <color rgb="FFFF0000"/>
      </colorScale>
    </cfRule>
    <cfRule type="colorScale" priority="25">
      <colorScale>
        <cfvo type="num" val="1.2"/>
        <cfvo type="num" val="3.4"/>
        <cfvo type="num" val="6.9"/>
        <color rgb="FF92D050"/>
        <color rgb="FFFFEB84"/>
        <color rgb="FFFF0000"/>
      </colorScale>
    </cfRule>
    <cfRule type="colorScale" priority="28">
      <colorScale>
        <cfvo type="formula" val="&quot;&lt;3&quot;"/>
        <cfvo type="formula" val="&quot;je mezi 4-6&quot;"/>
        <cfvo type="formula" val="&quot;&gt;6&quot;"/>
        <color rgb="FF92D050"/>
        <color rgb="FFFFFF00"/>
        <color rgb="FFFF0000"/>
      </colorScale>
    </cfRule>
  </conditionalFormatting>
  <conditionalFormatting sqref="O31 T28 O28 Q31:T31 J21:J22 N21:N22 N45:N51 J45:J51 N24:N25 J24:J25 Q28">
    <cfRule type="colorScale" priority="82">
      <colorScale>
        <cfvo type="num" val="1.2"/>
        <cfvo type="num" val="3.4"/>
        <cfvo type="num" val="6.9"/>
        <color rgb="FF92D050"/>
        <color rgb="FFFFEB84"/>
        <color rgb="FFFF0000"/>
      </colorScale>
    </cfRule>
  </conditionalFormatting>
  <pageMargins left="0.35433070866141736" right="0.15748031496062992" top="0.59055118110236227" bottom="0.70866141732283472" header="0.51181102362204722" footer="0.51181102362204722"/>
  <pageSetup paperSize="8" scale="46" fitToWidth="2" fitToHeight="2" orientation="landscape" horizontalDpi="300" verticalDpi="300" r:id="rId1"/>
  <headerFooter alignWithMargins="0">
    <oddFooter>&amp;L&amp;"Arial Narrow,Regular"&amp;6&amp;Z&amp;F&amp;C&amp;"Arial Narrow,Regular"&amp;6&amp;P of &amp;N&amp;R&amp;"Arial Narrow,Regular"&amp;6Date printed: &amp;D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53"/>
  <sheetViews>
    <sheetView workbookViewId="0">
      <selection activeCell="G12" sqref="G12"/>
    </sheetView>
  </sheetViews>
  <sheetFormatPr defaultColWidth="8.85546875" defaultRowHeight="12.75" x14ac:dyDescent="0.2"/>
  <cols>
    <col min="1" max="1" width="8.85546875" style="9"/>
    <col min="2" max="2" width="12.140625" style="6" customWidth="1"/>
    <col min="3" max="3" width="15" style="6" customWidth="1"/>
    <col min="4" max="4" width="11.85546875" style="6" customWidth="1"/>
    <col min="5" max="5" width="9.5703125" style="6" customWidth="1"/>
    <col min="6" max="6" width="8.85546875" style="21"/>
    <col min="7" max="7" width="26.5703125" style="6" customWidth="1"/>
    <col min="8" max="10" width="8.85546875" style="6"/>
    <col min="11" max="11" width="37.140625" style="6" customWidth="1"/>
    <col min="12" max="13" width="8.85546875" style="6"/>
    <col min="14" max="15" width="8.85546875" style="9"/>
    <col min="16" max="16" width="15" style="21" customWidth="1"/>
    <col min="17" max="17" width="19.140625" style="21" customWidth="1"/>
    <col min="18" max="18" width="12.85546875" style="21" customWidth="1"/>
    <col min="19" max="19" width="12" style="21" customWidth="1"/>
    <col min="20" max="20" width="13.140625" style="6" customWidth="1"/>
    <col min="21" max="16384" width="8.85546875" style="6"/>
  </cols>
  <sheetData>
    <row r="1" spans="1:20" x14ac:dyDescent="0.2">
      <c r="B1" s="1"/>
      <c r="C1" s="1"/>
      <c r="D1" s="1"/>
      <c r="E1" s="1"/>
    </row>
    <row r="2" spans="1:20" x14ac:dyDescent="0.2">
      <c r="A2" s="10"/>
      <c r="B2" s="11" t="s">
        <v>378</v>
      </c>
      <c r="C2" s="11"/>
      <c r="F2" s="24"/>
      <c r="G2" s="12"/>
      <c r="H2" s="12"/>
      <c r="I2" s="12"/>
      <c r="J2" s="12"/>
      <c r="K2" s="12"/>
      <c r="L2" s="12"/>
      <c r="M2" s="12"/>
      <c r="N2" s="13"/>
      <c r="O2" s="13"/>
      <c r="P2" s="22"/>
      <c r="Q2" s="22"/>
      <c r="R2" s="22"/>
      <c r="S2" s="22"/>
      <c r="T2" s="12"/>
    </row>
    <row r="3" spans="1:20" x14ac:dyDescent="0.2">
      <c r="A3" s="13"/>
      <c r="B3" s="14" t="s">
        <v>379</v>
      </c>
      <c r="C3" s="15" t="s">
        <v>380</v>
      </c>
      <c r="F3" s="24"/>
      <c r="G3" s="12"/>
      <c r="H3" s="12"/>
      <c r="I3" s="12"/>
      <c r="J3" s="12"/>
      <c r="K3" s="11" t="s">
        <v>381</v>
      </c>
      <c r="L3" s="11">
        <v>5</v>
      </c>
      <c r="M3" s="12"/>
      <c r="N3" s="13"/>
      <c r="O3" s="13"/>
      <c r="P3" s="22"/>
      <c r="Q3" s="22"/>
      <c r="R3" s="22"/>
      <c r="S3" s="22"/>
      <c r="T3" s="12"/>
    </row>
    <row r="4" spans="1:20" ht="12.75" customHeight="1" x14ac:dyDescent="0.2">
      <c r="A4" s="13"/>
      <c r="B4" s="14" t="s">
        <v>382</v>
      </c>
      <c r="C4" s="15">
        <v>2013</v>
      </c>
      <c r="D4" s="14"/>
      <c r="E4" s="14"/>
      <c r="F4" s="24"/>
      <c r="G4" s="12"/>
      <c r="H4" s="12"/>
      <c r="I4" s="12"/>
      <c r="J4" s="12"/>
      <c r="K4" s="14" t="s">
        <v>383</v>
      </c>
      <c r="L4" s="30">
        <v>3</v>
      </c>
      <c r="M4" s="12"/>
      <c r="N4" s="13"/>
      <c r="O4" s="13"/>
      <c r="P4" s="22"/>
      <c r="Q4" s="22"/>
      <c r="R4" s="22"/>
      <c r="S4" s="22"/>
      <c r="T4" s="12"/>
    </row>
    <row r="5" spans="1:20" ht="25.5" customHeight="1" x14ac:dyDescent="0.2">
      <c r="A5" s="13"/>
      <c r="B5" s="14"/>
      <c r="C5" s="15"/>
      <c r="D5" s="14"/>
      <c r="E5" s="14"/>
      <c r="F5" s="24"/>
      <c r="G5" s="12"/>
      <c r="H5" s="12"/>
      <c r="I5" s="12"/>
      <c r="J5" s="12"/>
      <c r="K5" s="12"/>
      <c r="L5" s="12"/>
      <c r="M5" s="12"/>
      <c r="N5" s="13"/>
      <c r="O5" s="13"/>
      <c r="P5" s="22"/>
      <c r="Q5" s="22"/>
      <c r="R5" s="22"/>
      <c r="S5" s="22"/>
      <c r="T5" s="12"/>
    </row>
    <row r="6" spans="1:20" ht="82.5" customHeight="1" thickBot="1" x14ac:dyDescent="0.25">
      <c r="A6" s="157" t="s">
        <v>384</v>
      </c>
      <c r="B6" s="159" t="s">
        <v>1</v>
      </c>
      <c r="C6" s="159" t="s">
        <v>2</v>
      </c>
      <c r="D6" s="31" t="s">
        <v>3</v>
      </c>
      <c r="E6" s="33" t="s">
        <v>385</v>
      </c>
      <c r="F6" s="161" t="s">
        <v>386</v>
      </c>
      <c r="G6" s="153" t="s">
        <v>5</v>
      </c>
      <c r="H6" s="151" t="s">
        <v>387</v>
      </c>
      <c r="I6" s="152"/>
      <c r="J6" s="153" t="s">
        <v>388</v>
      </c>
      <c r="K6" s="153" t="s">
        <v>389</v>
      </c>
      <c r="L6" s="151" t="s">
        <v>390</v>
      </c>
      <c r="M6" s="152"/>
      <c r="N6" s="155" t="s">
        <v>391</v>
      </c>
      <c r="O6" s="155" t="s">
        <v>392</v>
      </c>
      <c r="P6" s="155" t="s">
        <v>186</v>
      </c>
      <c r="Q6" s="33" t="s">
        <v>393</v>
      </c>
      <c r="R6" s="33" t="s">
        <v>394</v>
      </c>
      <c r="S6" s="33" t="s">
        <v>395</v>
      </c>
      <c r="T6" s="33" t="s">
        <v>396</v>
      </c>
    </row>
    <row r="7" spans="1:20" ht="15" customHeight="1" thickTop="1" thickBot="1" x14ac:dyDescent="0.25">
      <c r="A7" s="158"/>
      <c r="B7" s="160"/>
      <c r="C7" s="160"/>
      <c r="D7" s="32"/>
      <c r="E7" s="32"/>
      <c r="F7" s="162"/>
      <c r="G7" s="154"/>
      <c r="H7" s="34" t="s">
        <v>397</v>
      </c>
      <c r="I7" s="34" t="s">
        <v>398</v>
      </c>
      <c r="J7" s="154"/>
      <c r="K7" s="154"/>
      <c r="L7" s="34" t="s">
        <v>397</v>
      </c>
      <c r="M7" s="34" t="s">
        <v>398</v>
      </c>
      <c r="N7" s="156"/>
      <c r="O7" s="156"/>
      <c r="P7" s="156"/>
      <c r="Q7" s="35"/>
      <c r="R7" s="35"/>
      <c r="S7" s="35"/>
      <c r="T7" s="33"/>
    </row>
    <row r="8" spans="1:20" ht="27" thickTop="1" thickBot="1" x14ac:dyDescent="0.25">
      <c r="A8" s="7">
        <v>3</v>
      </c>
      <c r="B8" s="8" t="s">
        <v>27</v>
      </c>
      <c r="C8" s="8" t="s">
        <v>399</v>
      </c>
      <c r="D8" s="8" t="s">
        <v>400</v>
      </c>
      <c r="E8" s="7" t="s">
        <v>401</v>
      </c>
      <c r="F8" s="25" t="s">
        <v>402</v>
      </c>
      <c r="G8" s="4" t="s">
        <v>403</v>
      </c>
      <c r="H8" s="29">
        <v>3</v>
      </c>
      <c r="I8" s="29">
        <v>3</v>
      </c>
      <c r="J8" s="16">
        <f t="shared" ref="J8:J52" si="0">+H8*I8</f>
        <v>9</v>
      </c>
      <c r="K8" s="5" t="s">
        <v>404</v>
      </c>
      <c r="L8" s="29">
        <v>3</v>
      </c>
      <c r="M8" s="29">
        <v>3</v>
      </c>
      <c r="N8" s="16">
        <f t="shared" ref="N8:N52" si="1">+L8*M8</f>
        <v>9</v>
      </c>
      <c r="O8" s="18">
        <v>1</v>
      </c>
      <c r="P8" s="20" t="s">
        <v>47</v>
      </c>
      <c r="Q8" s="20"/>
      <c r="R8" s="20"/>
      <c r="S8" s="20"/>
      <c r="T8" s="7"/>
    </row>
    <row r="9" spans="1:20" ht="52.5" thickTop="1" thickBot="1" x14ac:dyDescent="0.25">
      <c r="A9" s="7">
        <v>11</v>
      </c>
      <c r="B9" s="8" t="s">
        <v>405</v>
      </c>
      <c r="C9" s="8" t="s">
        <v>406</v>
      </c>
      <c r="D9" s="8" t="s">
        <v>407</v>
      </c>
      <c r="E9" s="7" t="s">
        <v>408</v>
      </c>
      <c r="F9" s="23" t="s">
        <v>409</v>
      </c>
      <c r="G9" s="4" t="s">
        <v>410</v>
      </c>
      <c r="H9" s="29">
        <v>3</v>
      </c>
      <c r="I9" s="29">
        <v>3</v>
      </c>
      <c r="J9" s="16">
        <f t="shared" si="0"/>
        <v>9</v>
      </c>
      <c r="K9" s="5" t="s">
        <v>411</v>
      </c>
      <c r="L9" s="29">
        <v>2</v>
      </c>
      <c r="M9" s="29">
        <v>3</v>
      </c>
      <c r="N9" s="16">
        <f t="shared" si="1"/>
        <v>6</v>
      </c>
      <c r="O9" s="18">
        <v>2</v>
      </c>
      <c r="P9" s="20" t="s">
        <v>412</v>
      </c>
      <c r="Q9" s="20"/>
      <c r="R9" s="20"/>
      <c r="S9" s="20"/>
      <c r="T9" s="8"/>
    </row>
    <row r="10" spans="1:20" ht="65.25" thickTop="1" thickBot="1" x14ac:dyDescent="0.25">
      <c r="A10" s="7">
        <v>11</v>
      </c>
      <c r="B10" s="8" t="s">
        <v>405</v>
      </c>
      <c r="C10" s="8" t="s">
        <v>406</v>
      </c>
      <c r="D10" s="8" t="s">
        <v>413</v>
      </c>
      <c r="E10" s="7" t="s">
        <v>408</v>
      </c>
      <c r="F10" s="23" t="s">
        <v>414</v>
      </c>
      <c r="G10" s="4" t="s">
        <v>415</v>
      </c>
      <c r="H10" s="29">
        <v>3</v>
      </c>
      <c r="I10" s="29">
        <v>3</v>
      </c>
      <c r="J10" s="16">
        <f t="shared" si="0"/>
        <v>9</v>
      </c>
      <c r="K10" s="5" t="s">
        <v>416</v>
      </c>
      <c r="L10" s="29">
        <v>3</v>
      </c>
      <c r="M10" s="29">
        <v>2</v>
      </c>
      <c r="N10" s="16">
        <f t="shared" si="1"/>
        <v>6</v>
      </c>
      <c r="O10" s="18">
        <v>3</v>
      </c>
      <c r="P10" s="20" t="s">
        <v>412</v>
      </c>
      <c r="Q10" s="20"/>
      <c r="R10" s="20"/>
      <c r="S10" s="20"/>
      <c r="T10" s="8"/>
    </row>
    <row r="11" spans="1:20" ht="27" thickTop="1" thickBot="1" x14ac:dyDescent="0.25">
      <c r="A11" s="7">
        <v>3</v>
      </c>
      <c r="B11" s="8" t="s">
        <v>27</v>
      </c>
      <c r="C11" s="8" t="s">
        <v>399</v>
      </c>
      <c r="D11" s="8" t="s">
        <v>400</v>
      </c>
      <c r="E11" s="7" t="s">
        <v>401</v>
      </c>
      <c r="F11" s="25" t="s">
        <v>417</v>
      </c>
      <c r="G11" s="4" t="s">
        <v>418</v>
      </c>
      <c r="H11" s="29">
        <v>3</v>
      </c>
      <c r="I11" s="29">
        <v>2</v>
      </c>
      <c r="J11" s="16">
        <f t="shared" si="0"/>
        <v>6</v>
      </c>
      <c r="K11" s="5" t="s">
        <v>582</v>
      </c>
      <c r="L11" s="29">
        <v>2</v>
      </c>
      <c r="M11" s="29">
        <v>2</v>
      </c>
      <c r="N11" s="16">
        <f t="shared" si="1"/>
        <v>4</v>
      </c>
      <c r="O11" s="18">
        <v>4</v>
      </c>
      <c r="P11" s="20" t="s">
        <v>47</v>
      </c>
      <c r="Q11" s="20"/>
      <c r="R11" s="28"/>
      <c r="S11" s="20"/>
      <c r="T11" s="7"/>
    </row>
    <row r="12" spans="1:20" ht="65.25" thickTop="1" thickBot="1" x14ac:dyDescent="0.25">
      <c r="A12" s="7">
        <v>3</v>
      </c>
      <c r="B12" s="8" t="s">
        <v>27</v>
      </c>
      <c r="C12" s="8" t="s">
        <v>460</v>
      </c>
      <c r="D12" s="8" t="s">
        <v>437</v>
      </c>
      <c r="E12" s="7" t="s">
        <v>408</v>
      </c>
      <c r="F12" s="25" t="s">
        <v>479</v>
      </c>
      <c r="G12" s="4" t="s">
        <v>480</v>
      </c>
      <c r="H12" s="29">
        <v>2</v>
      </c>
      <c r="I12" s="29">
        <v>3</v>
      </c>
      <c r="J12" s="16">
        <f t="shared" si="0"/>
        <v>6</v>
      </c>
      <c r="K12" s="5" t="s">
        <v>481</v>
      </c>
      <c r="L12" s="29">
        <v>2</v>
      </c>
      <c r="M12" s="29">
        <v>2</v>
      </c>
      <c r="N12" s="16">
        <f t="shared" si="1"/>
        <v>4</v>
      </c>
      <c r="O12" s="18">
        <v>5</v>
      </c>
      <c r="P12" s="20" t="s">
        <v>47</v>
      </c>
      <c r="Q12" s="20"/>
      <c r="R12" s="20"/>
      <c r="S12" s="20"/>
      <c r="T12" s="7"/>
    </row>
    <row r="13" spans="1:20" ht="116.25" thickTop="1" thickBot="1" x14ac:dyDescent="0.25">
      <c r="A13" s="7">
        <v>5</v>
      </c>
      <c r="B13" s="8" t="s">
        <v>12</v>
      </c>
      <c r="C13" s="8"/>
      <c r="D13" s="8" t="s">
        <v>446</v>
      </c>
      <c r="E13" s="7" t="s">
        <v>408</v>
      </c>
      <c r="F13" s="23" t="s">
        <v>447</v>
      </c>
      <c r="G13" s="4" t="s">
        <v>448</v>
      </c>
      <c r="H13" s="29">
        <v>3</v>
      </c>
      <c r="I13" s="29">
        <v>3</v>
      </c>
      <c r="J13" s="16">
        <f t="shared" si="0"/>
        <v>9</v>
      </c>
      <c r="K13" s="5" t="s">
        <v>449</v>
      </c>
      <c r="L13" s="29">
        <v>2</v>
      </c>
      <c r="M13" s="29">
        <v>2</v>
      </c>
      <c r="N13" s="16">
        <f t="shared" si="1"/>
        <v>4</v>
      </c>
      <c r="O13" s="18">
        <v>6</v>
      </c>
      <c r="P13" s="23" t="s">
        <v>450</v>
      </c>
      <c r="Q13" s="23"/>
      <c r="R13" s="23"/>
      <c r="S13" s="23"/>
      <c r="T13" s="2"/>
    </row>
    <row r="14" spans="1:20" ht="39.75" thickTop="1" thickBot="1" x14ac:dyDescent="0.25">
      <c r="A14" s="7">
        <v>10</v>
      </c>
      <c r="B14" s="8" t="s">
        <v>435</v>
      </c>
      <c r="C14" s="8" t="s">
        <v>508</v>
      </c>
      <c r="D14" s="8" t="s">
        <v>437</v>
      </c>
      <c r="E14" s="7" t="s">
        <v>408</v>
      </c>
      <c r="F14" s="23" t="s">
        <v>509</v>
      </c>
      <c r="G14" s="4" t="s">
        <v>510</v>
      </c>
      <c r="H14" s="29">
        <v>3</v>
      </c>
      <c r="I14" s="29">
        <v>3</v>
      </c>
      <c r="J14" s="16">
        <f t="shared" si="0"/>
        <v>9</v>
      </c>
      <c r="K14" s="5" t="s">
        <v>470</v>
      </c>
      <c r="L14" s="29">
        <v>2</v>
      </c>
      <c r="M14" s="29">
        <v>2</v>
      </c>
      <c r="N14" s="16">
        <f t="shared" si="1"/>
        <v>4</v>
      </c>
      <c r="O14" s="18">
        <v>7</v>
      </c>
      <c r="P14" s="20" t="s">
        <v>511</v>
      </c>
      <c r="Q14" s="26"/>
      <c r="R14" s="26"/>
      <c r="S14" s="26"/>
      <c r="T14" s="2"/>
    </row>
    <row r="15" spans="1:20" ht="52.5" thickTop="1" thickBot="1" x14ac:dyDescent="0.25">
      <c r="A15" s="7">
        <v>11</v>
      </c>
      <c r="B15" s="8" t="s">
        <v>405</v>
      </c>
      <c r="C15" s="8" t="s">
        <v>406</v>
      </c>
      <c r="D15" s="8" t="s">
        <v>427</v>
      </c>
      <c r="E15" s="7" t="s">
        <v>408</v>
      </c>
      <c r="F15" s="23" t="s">
        <v>428</v>
      </c>
      <c r="G15" s="4" t="s">
        <v>429</v>
      </c>
      <c r="H15" s="29">
        <v>2</v>
      </c>
      <c r="I15" s="29">
        <v>2</v>
      </c>
      <c r="J15" s="16">
        <f t="shared" si="0"/>
        <v>4</v>
      </c>
      <c r="K15" s="5" t="s">
        <v>430</v>
      </c>
      <c r="L15" s="29">
        <v>2</v>
      </c>
      <c r="M15" s="29">
        <v>2</v>
      </c>
      <c r="N15" s="16">
        <f t="shared" si="1"/>
        <v>4</v>
      </c>
      <c r="O15" s="18">
        <v>8</v>
      </c>
      <c r="P15" s="23" t="s">
        <v>106</v>
      </c>
      <c r="Q15" s="23"/>
      <c r="R15" s="23"/>
      <c r="S15" s="23"/>
      <c r="T15" s="3"/>
    </row>
    <row r="16" spans="1:20" ht="93.75" customHeight="1" thickTop="1" thickBot="1" x14ac:dyDescent="0.25">
      <c r="A16" s="7">
        <v>1</v>
      </c>
      <c r="B16" s="8" t="s">
        <v>471</v>
      </c>
      <c r="C16" s="8"/>
      <c r="D16" s="8" t="s">
        <v>472</v>
      </c>
      <c r="E16" s="7" t="s">
        <v>408</v>
      </c>
      <c r="F16" s="23" t="s">
        <v>473</v>
      </c>
      <c r="G16" s="4" t="s">
        <v>474</v>
      </c>
      <c r="H16" s="29">
        <v>2</v>
      </c>
      <c r="I16" s="29">
        <v>3</v>
      </c>
      <c r="J16" s="16">
        <f t="shared" si="0"/>
        <v>6</v>
      </c>
      <c r="K16" s="5" t="s">
        <v>475</v>
      </c>
      <c r="L16" s="29">
        <v>1</v>
      </c>
      <c r="M16" s="29">
        <v>3</v>
      </c>
      <c r="N16" s="16">
        <f t="shared" si="1"/>
        <v>3</v>
      </c>
      <c r="O16" s="18">
        <v>9</v>
      </c>
      <c r="P16" s="23" t="s">
        <v>476</v>
      </c>
      <c r="Q16" s="26"/>
      <c r="R16" s="26"/>
      <c r="S16" s="26"/>
      <c r="T16" s="2"/>
    </row>
    <row r="17" spans="1:20" ht="90.75" thickTop="1" thickBot="1" x14ac:dyDescent="0.25">
      <c r="A17" s="7">
        <v>2</v>
      </c>
      <c r="B17" s="8" t="s">
        <v>19</v>
      </c>
      <c r="C17" s="8"/>
      <c r="D17" s="8" t="s">
        <v>427</v>
      </c>
      <c r="E17" s="7" t="s">
        <v>401</v>
      </c>
      <c r="F17" s="23" t="s">
        <v>583</v>
      </c>
      <c r="G17" s="4" t="s">
        <v>432</v>
      </c>
      <c r="H17" s="29">
        <v>3</v>
      </c>
      <c r="I17" s="29">
        <v>3</v>
      </c>
      <c r="J17" s="16">
        <f t="shared" si="0"/>
        <v>9</v>
      </c>
      <c r="K17" s="5" t="s">
        <v>433</v>
      </c>
      <c r="L17" s="29">
        <v>3</v>
      </c>
      <c r="M17" s="29">
        <v>1</v>
      </c>
      <c r="N17" s="16">
        <f t="shared" si="1"/>
        <v>3</v>
      </c>
      <c r="O17" s="18">
        <v>10</v>
      </c>
      <c r="P17" s="23" t="s">
        <v>584</v>
      </c>
      <c r="Q17" s="26"/>
      <c r="R17" s="26"/>
      <c r="S17" s="26"/>
      <c r="T17" s="2"/>
    </row>
    <row r="18" spans="1:20" ht="52.5" thickTop="1" thickBot="1" x14ac:dyDescent="0.25">
      <c r="A18" s="7">
        <v>6</v>
      </c>
      <c r="B18" s="8" t="s">
        <v>441</v>
      </c>
      <c r="C18" s="8"/>
      <c r="D18" s="8" t="s">
        <v>427</v>
      </c>
      <c r="E18" s="7" t="s">
        <v>408</v>
      </c>
      <c r="F18" s="23" t="s">
        <v>442</v>
      </c>
      <c r="G18" s="4" t="s">
        <v>585</v>
      </c>
      <c r="H18" s="29">
        <v>3</v>
      </c>
      <c r="I18" s="29">
        <v>2</v>
      </c>
      <c r="J18" s="16">
        <f t="shared" si="0"/>
        <v>6</v>
      </c>
      <c r="K18" s="5" t="s">
        <v>586</v>
      </c>
      <c r="L18" s="29">
        <v>3</v>
      </c>
      <c r="M18" s="29">
        <v>1</v>
      </c>
      <c r="N18" s="16">
        <f t="shared" si="1"/>
        <v>3</v>
      </c>
      <c r="O18" s="18">
        <v>11</v>
      </c>
      <c r="P18" s="20" t="s">
        <v>587</v>
      </c>
      <c r="Q18" s="20"/>
      <c r="R18" s="20"/>
      <c r="S18" s="20"/>
      <c r="T18" s="7"/>
    </row>
    <row r="19" spans="1:20" ht="39.75" thickTop="1" thickBot="1" x14ac:dyDescent="0.25">
      <c r="A19" s="7">
        <v>8</v>
      </c>
      <c r="B19" s="8" t="s">
        <v>495</v>
      </c>
      <c r="C19" s="8" t="s">
        <v>557</v>
      </c>
      <c r="D19" s="8" t="s">
        <v>64</v>
      </c>
      <c r="E19" s="7" t="s">
        <v>408</v>
      </c>
      <c r="F19" s="23" t="s">
        <v>558</v>
      </c>
      <c r="G19" s="4" t="s">
        <v>559</v>
      </c>
      <c r="H19" s="29">
        <v>1</v>
      </c>
      <c r="I19" s="29">
        <v>3</v>
      </c>
      <c r="J19" s="16">
        <f t="shared" si="0"/>
        <v>3</v>
      </c>
      <c r="K19" s="5" t="s">
        <v>588</v>
      </c>
      <c r="L19" s="29">
        <v>1</v>
      </c>
      <c r="M19" s="29">
        <v>3</v>
      </c>
      <c r="N19" s="16">
        <f t="shared" si="1"/>
        <v>3</v>
      </c>
      <c r="O19" s="18">
        <v>12</v>
      </c>
      <c r="P19" s="20" t="s">
        <v>106</v>
      </c>
      <c r="Q19" s="20"/>
      <c r="R19" s="20"/>
      <c r="S19" s="20"/>
      <c r="T19" s="7" t="s">
        <v>561</v>
      </c>
    </row>
    <row r="20" spans="1:20" ht="27" thickTop="1" thickBot="1" x14ac:dyDescent="0.25">
      <c r="A20" s="7">
        <v>8</v>
      </c>
      <c r="B20" s="8" t="s">
        <v>495</v>
      </c>
      <c r="C20" s="8" t="s">
        <v>496</v>
      </c>
      <c r="D20" s="8" t="s">
        <v>487</v>
      </c>
      <c r="E20" s="7" t="s">
        <v>408</v>
      </c>
      <c r="F20" s="23" t="s">
        <v>501</v>
      </c>
      <c r="G20" s="4" t="s">
        <v>502</v>
      </c>
      <c r="H20" s="29">
        <v>1</v>
      </c>
      <c r="I20" s="29">
        <v>3</v>
      </c>
      <c r="J20" s="16">
        <f t="shared" si="0"/>
        <v>3</v>
      </c>
      <c r="K20" s="5" t="s">
        <v>589</v>
      </c>
      <c r="L20" s="29">
        <v>1</v>
      </c>
      <c r="M20" s="29">
        <v>3</v>
      </c>
      <c r="N20" s="16">
        <f t="shared" si="1"/>
        <v>3</v>
      </c>
      <c r="O20" s="18">
        <v>13</v>
      </c>
      <c r="P20" s="20" t="s">
        <v>106</v>
      </c>
      <c r="Q20" s="20"/>
      <c r="R20" s="28"/>
      <c r="S20" s="20"/>
      <c r="T20" s="7"/>
    </row>
    <row r="21" spans="1:20" ht="78" thickTop="1" thickBot="1" x14ac:dyDescent="0.25">
      <c r="A21" s="7">
        <v>9</v>
      </c>
      <c r="B21" s="8" t="s">
        <v>420</v>
      </c>
      <c r="C21" s="8" t="s">
        <v>421</v>
      </c>
      <c r="D21" s="8" t="s">
        <v>422</v>
      </c>
      <c r="E21" s="7" t="s">
        <v>408</v>
      </c>
      <c r="F21" s="23" t="s">
        <v>423</v>
      </c>
      <c r="G21" s="4" t="s">
        <v>424</v>
      </c>
      <c r="H21" s="29">
        <v>3</v>
      </c>
      <c r="I21" s="29">
        <v>2</v>
      </c>
      <c r="J21" s="16">
        <f t="shared" si="0"/>
        <v>6</v>
      </c>
      <c r="K21" s="5" t="s">
        <v>590</v>
      </c>
      <c r="L21" s="29">
        <v>3</v>
      </c>
      <c r="M21" s="29">
        <v>1</v>
      </c>
      <c r="N21" s="16">
        <f t="shared" si="1"/>
        <v>3</v>
      </c>
      <c r="O21" s="18">
        <v>14</v>
      </c>
      <c r="P21" s="20" t="s">
        <v>426</v>
      </c>
      <c r="Q21" s="20"/>
      <c r="R21" s="20"/>
      <c r="S21" s="20"/>
      <c r="T21" s="7"/>
    </row>
    <row r="22" spans="1:20" ht="39.75" thickTop="1" thickBot="1" x14ac:dyDescent="0.25">
      <c r="A22" s="7">
        <v>10</v>
      </c>
      <c r="B22" s="8" t="s">
        <v>435</v>
      </c>
      <c r="C22" s="8" t="s">
        <v>436</v>
      </c>
      <c r="D22" s="8" t="s">
        <v>437</v>
      </c>
      <c r="E22" s="7" t="s">
        <v>401</v>
      </c>
      <c r="F22" s="23" t="s">
        <v>438</v>
      </c>
      <c r="G22" s="4" t="s">
        <v>439</v>
      </c>
      <c r="H22" s="29">
        <v>3</v>
      </c>
      <c r="I22" s="29">
        <v>3</v>
      </c>
      <c r="J22" s="16">
        <f t="shared" si="0"/>
        <v>9</v>
      </c>
      <c r="K22" s="5" t="s">
        <v>440</v>
      </c>
      <c r="L22" s="29">
        <v>1</v>
      </c>
      <c r="M22" s="29">
        <v>3</v>
      </c>
      <c r="N22" s="16">
        <f t="shared" si="1"/>
        <v>3</v>
      </c>
      <c r="O22" s="18">
        <v>15</v>
      </c>
      <c r="P22" s="23" t="s">
        <v>208</v>
      </c>
      <c r="Q22" s="26"/>
      <c r="R22" s="26"/>
      <c r="S22" s="26"/>
      <c r="T22" s="2"/>
    </row>
    <row r="23" spans="1:20" ht="65.25" thickTop="1" thickBot="1" x14ac:dyDescent="0.25">
      <c r="A23" s="7">
        <v>2</v>
      </c>
      <c r="B23" s="8" t="s">
        <v>19</v>
      </c>
      <c r="C23" s="8"/>
      <c r="D23" s="8" t="s">
        <v>427</v>
      </c>
      <c r="E23" s="7" t="s">
        <v>408</v>
      </c>
      <c r="F23" s="23" t="s">
        <v>431</v>
      </c>
      <c r="G23" s="4" t="s">
        <v>591</v>
      </c>
      <c r="H23" s="29">
        <v>3</v>
      </c>
      <c r="I23" s="29">
        <v>1</v>
      </c>
      <c r="J23" s="16">
        <f t="shared" si="0"/>
        <v>3</v>
      </c>
      <c r="K23" s="5" t="s">
        <v>592</v>
      </c>
      <c r="L23" s="29">
        <v>2</v>
      </c>
      <c r="M23" s="29">
        <v>1</v>
      </c>
      <c r="N23" s="16">
        <f t="shared" si="1"/>
        <v>2</v>
      </c>
      <c r="O23" s="18">
        <v>16</v>
      </c>
      <c r="P23" s="23" t="s">
        <v>593</v>
      </c>
      <c r="Q23" s="26"/>
      <c r="R23" s="26"/>
      <c r="S23" s="26"/>
      <c r="T23" s="2"/>
    </row>
    <row r="24" spans="1:20" ht="52.5" thickTop="1" thickBot="1" x14ac:dyDescent="0.25">
      <c r="A24" s="7">
        <v>3</v>
      </c>
      <c r="B24" s="8" t="s">
        <v>27</v>
      </c>
      <c r="C24" s="8" t="s">
        <v>399</v>
      </c>
      <c r="D24" s="8" t="s">
        <v>427</v>
      </c>
      <c r="E24" s="7" t="s">
        <v>408</v>
      </c>
      <c r="F24" s="25" t="s">
        <v>477</v>
      </c>
      <c r="G24" s="4" t="s">
        <v>352</v>
      </c>
      <c r="H24" s="29">
        <v>1</v>
      </c>
      <c r="I24" s="29">
        <v>3</v>
      </c>
      <c r="J24" s="16">
        <f t="shared" si="0"/>
        <v>3</v>
      </c>
      <c r="K24" s="5" t="s">
        <v>478</v>
      </c>
      <c r="L24" s="29">
        <v>1</v>
      </c>
      <c r="M24" s="29">
        <v>2</v>
      </c>
      <c r="N24" s="16">
        <f t="shared" si="1"/>
        <v>2</v>
      </c>
      <c r="O24" s="18">
        <v>17</v>
      </c>
      <c r="P24" s="20" t="s">
        <v>47</v>
      </c>
      <c r="Q24" s="20"/>
      <c r="R24" s="28"/>
      <c r="S24" s="20"/>
      <c r="T24" s="7"/>
    </row>
    <row r="25" spans="1:20" ht="103.5" thickTop="1" thickBot="1" x14ac:dyDescent="0.25">
      <c r="A25" s="7">
        <v>3</v>
      </c>
      <c r="B25" s="8" t="s">
        <v>27</v>
      </c>
      <c r="C25" s="8" t="s">
        <v>460</v>
      </c>
      <c r="D25" s="8" t="s">
        <v>427</v>
      </c>
      <c r="E25" s="7" t="s">
        <v>408</v>
      </c>
      <c r="F25" s="25" t="s">
        <v>461</v>
      </c>
      <c r="G25" s="4" t="s">
        <v>462</v>
      </c>
      <c r="H25" s="29">
        <v>2</v>
      </c>
      <c r="I25" s="29">
        <v>2</v>
      </c>
      <c r="J25" s="16">
        <f t="shared" si="0"/>
        <v>4</v>
      </c>
      <c r="K25" s="5" t="s">
        <v>594</v>
      </c>
      <c r="L25" s="29">
        <v>2</v>
      </c>
      <c r="M25" s="29">
        <v>1</v>
      </c>
      <c r="N25" s="16">
        <f t="shared" si="1"/>
        <v>2</v>
      </c>
      <c r="O25" s="18">
        <v>18</v>
      </c>
      <c r="P25" s="20" t="s">
        <v>47</v>
      </c>
      <c r="Q25" s="20"/>
      <c r="R25" s="20"/>
      <c r="S25" s="20"/>
      <c r="T25" s="7"/>
    </row>
    <row r="26" spans="1:20" ht="90.75" thickTop="1" thickBot="1" x14ac:dyDescent="0.25">
      <c r="A26" s="7">
        <v>4</v>
      </c>
      <c r="B26" s="8" t="s">
        <v>482</v>
      </c>
      <c r="C26" s="8"/>
      <c r="D26" s="8" t="s">
        <v>427</v>
      </c>
      <c r="E26" s="7" t="s">
        <v>401</v>
      </c>
      <c r="F26" s="23" t="s">
        <v>483</v>
      </c>
      <c r="G26" s="4" t="s">
        <v>484</v>
      </c>
      <c r="H26" s="29">
        <v>2</v>
      </c>
      <c r="I26" s="29">
        <v>2</v>
      </c>
      <c r="J26" s="16">
        <f t="shared" si="0"/>
        <v>4</v>
      </c>
      <c r="K26" s="5" t="s">
        <v>595</v>
      </c>
      <c r="L26" s="29">
        <v>1</v>
      </c>
      <c r="M26" s="29">
        <v>2</v>
      </c>
      <c r="N26" s="16">
        <f t="shared" si="1"/>
        <v>2</v>
      </c>
      <c r="O26" s="18">
        <v>19</v>
      </c>
      <c r="P26" s="23" t="s">
        <v>106</v>
      </c>
      <c r="Q26" s="23"/>
      <c r="R26" s="27"/>
      <c r="S26" s="23"/>
      <c r="T26" s="2"/>
    </row>
    <row r="27" spans="1:20" ht="52.5" thickTop="1" thickBot="1" x14ac:dyDescent="0.25">
      <c r="A27" s="7">
        <v>4</v>
      </c>
      <c r="B27" s="8" t="s">
        <v>482</v>
      </c>
      <c r="C27" s="8" t="s">
        <v>486</v>
      </c>
      <c r="D27" s="8" t="s">
        <v>487</v>
      </c>
      <c r="E27" s="7" t="s">
        <v>408</v>
      </c>
      <c r="F27" s="23" t="s">
        <v>488</v>
      </c>
      <c r="G27" s="4" t="s">
        <v>489</v>
      </c>
      <c r="H27" s="29">
        <v>1</v>
      </c>
      <c r="I27" s="29">
        <v>3</v>
      </c>
      <c r="J27" s="16">
        <f t="shared" si="0"/>
        <v>3</v>
      </c>
      <c r="K27" s="5" t="s">
        <v>490</v>
      </c>
      <c r="L27" s="29">
        <v>1</v>
      </c>
      <c r="M27" s="29">
        <v>2</v>
      </c>
      <c r="N27" s="16">
        <f t="shared" si="1"/>
        <v>2</v>
      </c>
      <c r="O27" s="18">
        <v>20</v>
      </c>
      <c r="P27" s="23" t="s">
        <v>491</v>
      </c>
      <c r="Q27" s="23"/>
      <c r="R27" s="23"/>
      <c r="S27" s="23"/>
      <c r="T27" s="2"/>
    </row>
    <row r="28" spans="1:20" ht="52.5" thickTop="1" thickBot="1" x14ac:dyDescent="0.25">
      <c r="A28" s="7">
        <v>4</v>
      </c>
      <c r="B28" s="8" t="s">
        <v>482</v>
      </c>
      <c r="C28" s="8"/>
      <c r="D28" s="8" t="s">
        <v>427</v>
      </c>
      <c r="E28" s="7" t="s">
        <v>408</v>
      </c>
      <c r="F28" s="23" t="s">
        <v>544</v>
      </c>
      <c r="G28" s="4" t="s">
        <v>545</v>
      </c>
      <c r="H28" s="29">
        <v>2</v>
      </c>
      <c r="I28" s="29">
        <v>1</v>
      </c>
      <c r="J28" s="16">
        <f t="shared" si="0"/>
        <v>2</v>
      </c>
      <c r="K28" s="5" t="s">
        <v>596</v>
      </c>
      <c r="L28" s="29">
        <v>1</v>
      </c>
      <c r="M28" s="29">
        <v>2</v>
      </c>
      <c r="N28" s="16">
        <f t="shared" si="1"/>
        <v>2</v>
      </c>
      <c r="O28" s="18">
        <v>21</v>
      </c>
      <c r="P28" s="23" t="s">
        <v>106</v>
      </c>
      <c r="Q28" s="23"/>
      <c r="R28" s="23"/>
      <c r="S28" s="23"/>
      <c r="T28" s="2"/>
    </row>
    <row r="29" spans="1:20" ht="52.5" thickTop="1" thickBot="1" x14ac:dyDescent="0.25">
      <c r="A29" s="7">
        <v>5</v>
      </c>
      <c r="B29" s="8" t="s">
        <v>12</v>
      </c>
      <c r="C29" s="8"/>
      <c r="D29" s="8" t="s">
        <v>427</v>
      </c>
      <c r="E29" s="7" t="s">
        <v>408</v>
      </c>
      <c r="F29" s="23" t="s">
        <v>464</v>
      </c>
      <c r="G29" s="4" t="s">
        <v>465</v>
      </c>
      <c r="H29" s="29">
        <v>2</v>
      </c>
      <c r="I29" s="29">
        <v>2</v>
      </c>
      <c r="J29" s="16">
        <f t="shared" si="0"/>
        <v>4</v>
      </c>
      <c r="K29" s="5" t="s">
        <v>466</v>
      </c>
      <c r="L29" s="29">
        <v>1</v>
      </c>
      <c r="M29" s="29">
        <v>2</v>
      </c>
      <c r="N29" s="16">
        <f t="shared" si="1"/>
        <v>2</v>
      </c>
      <c r="O29" s="18">
        <v>22</v>
      </c>
      <c r="P29" s="23" t="s">
        <v>467</v>
      </c>
      <c r="Q29" s="23"/>
      <c r="R29" s="27"/>
      <c r="S29" s="23"/>
      <c r="T29" s="3"/>
    </row>
    <row r="30" spans="1:20" ht="52.5" thickTop="1" thickBot="1" x14ac:dyDescent="0.25">
      <c r="A30" s="7">
        <v>5</v>
      </c>
      <c r="B30" s="8" t="s">
        <v>12</v>
      </c>
      <c r="C30" s="8"/>
      <c r="D30" s="8" t="s">
        <v>427</v>
      </c>
      <c r="E30" s="7" t="s">
        <v>408</v>
      </c>
      <c r="F30" s="23" t="s">
        <v>492</v>
      </c>
      <c r="G30" s="4" t="s">
        <v>493</v>
      </c>
      <c r="H30" s="29">
        <v>1</v>
      </c>
      <c r="I30" s="29">
        <v>3</v>
      </c>
      <c r="J30" s="16">
        <f t="shared" si="0"/>
        <v>3</v>
      </c>
      <c r="K30" s="5" t="s">
        <v>494</v>
      </c>
      <c r="L30" s="29">
        <v>1</v>
      </c>
      <c r="M30" s="29">
        <v>2</v>
      </c>
      <c r="N30" s="16">
        <f t="shared" si="1"/>
        <v>2</v>
      </c>
      <c r="O30" s="18">
        <v>23</v>
      </c>
      <c r="P30" s="23" t="s">
        <v>450</v>
      </c>
      <c r="Q30" s="23"/>
      <c r="R30" s="23"/>
      <c r="S30" s="23"/>
      <c r="T30" s="2"/>
    </row>
    <row r="31" spans="1:20" ht="103.5" thickTop="1" thickBot="1" x14ac:dyDescent="0.25">
      <c r="A31" s="7">
        <v>7</v>
      </c>
      <c r="B31" s="8" t="s">
        <v>451</v>
      </c>
      <c r="C31" s="8"/>
      <c r="D31" s="8" t="s">
        <v>452</v>
      </c>
      <c r="E31" s="7" t="s">
        <v>408</v>
      </c>
      <c r="F31" s="23" t="s">
        <v>453</v>
      </c>
      <c r="G31" s="4" t="s">
        <v>454</v>
      </c>
      <c r="H31" s="29">
        <v>3</v>
      </c>
      <c r="I31" s="29">
        <v>2</v>
      </c>
      <c r="J31" s="16">
        <f t="shared" si="0"/>
        <v>6</v>
      </c>
      <c r="K31" s="5" t="s">
        <v>597</v>
      </c>
      <c r="L31" s="29">
        <v>2</v>
      </c>
      <c r="M31" s="29">
        <v>1</v>
      </c>
      <c r="N31" s="16">
        <f t="shared" si="1"/>
        <v>2</v>
      </c>
      <c r="O31" s="18">
        <v>24</v>
      </c>
      <c r="P31" s="20" t="s">
        <v>598</v>
      </c>
      <c r="Q31" s="26"/>
      <c r="R31" s="26"/>
      <c r="S31" s="26"/>
      <c r="T31" s="2"/>
    </row>
    <row r="32" spans="1:20" ht="39.75" thickTop="1" thickBot="1" x14ac:dyDescent="0.25">
      <c r="A32" s="7">
        <v>7</v>
      </c>
      <c r="B32" s="8" t="s">
        <v>451</v>
      </c>
      <c r="C32" s="8"/>
      <c r="D32" s="8" t="s">
        <v>263</v>
      </c>
      <c r="E32" s="7" t="s">
        <v>401</v>
      </c>
      <c r="F32" s="23" t="s">
        <v>456</v>
      </c>
      <c r="G32" s="4" t="s">
        <v>457</v>
      </c>
      <c r="H32" s="29">
        <v>3</v>
      </c>
      <c r="I32" s="29">
        <v>2</v>
      </c>
      <c r="J32" s="16">
        <f t="shared" si="0"/>
        <v>6</v>
      </c>
      <c r="K32" s="5" t="s">
        <v>458</v>
      </c>
      <c r="L32" s="29">
        <v>2</v>
      </c>
      <c r="M32" s="29">
        <v>1</v>
      </c>
      <c r="N32" s="16">
        <f t="shared" si="1"/>
        <v>2</v>
      </c>
      <c r="O32" s="18">
        <v>25</v>
      </c>
      <c r="P32" s="20" t="s">
        <v>587</v>
      </c>
      <c r="Q32" s="23"/>
      <c r="R32" s="27"/>
      <c r="S32" s="23"/>
      <c r="T32" s="2"/>
    </row>
    <row r="33" spans="1:20" ht="39.75" thickTop="1" thickBot="1" x14ac:dyDescent="0.25">
      <c r="A33" s="7">
        <v>8</v>
      </c>
      <c r="B33" s="8" t="s">
        <v>495</v>
      </c>
      <c r="C33" s="8" t="s">
        <v>496</v>
      </c>
      <c r="D33" s="8" t="s">
        <v>497</v>
      </c>
      <c r="E33" s="7" t="s">
        <v>401</v>
      </c>
      <c r="F33" s="23" t="s">
        <v>498</v>
      </c>
      <c r="G33" s="4" t="s">
        <v>499</v>
      </c>
      <c r="H33" s="29">
        <v>2</v>
      </c>
      <c r="I33" s="29">
        <v>1</v>
      </c>
      <c r="J33" s="16">
        <f t="shared" si="0"/>
        <v>2</v>
      </c>
      <c r="K33" s="5" t="s">
        <v>500</v>
      </c>
      <c r="L33" s="29">
        <v>2</v>
      </c>
      <c r="M33" s="29">
        <v>1</v>
      </c>
      <c r="N33" s="16">
        <f t="shared" si="1"/>
        <v>2</v>
      </c>
      <c r="O33" s="18">
        <v>26</v>
      </c>
      <c r="P33" s="20" t="s">
        <v>106</v>
      </c>
      <c r="Q33" s="20"/>
      <c r="R33" s="20"/>
      <c r="S33" s="20"/>
      <c r="T33" s="7"/>
    </row>
    <row r="34" spans="1:20" ht="78" thickTop="1" thickBot="1" x14ac:dyDescent="0.25">
      <c r="A34" s="7">
        <v>8</v>
      </c>
      <c r="B34" s="8" t="s">
        <v>495</v>
      </c>
      <c r="C34" s="8" t="s">
        <v>532</v>
      </c>
      <c r="D34" s="8" t="s">
        <v>487</v>
      </c>
      <c r="E34" s="7" t="s">
        <v>408</v>
      </c>
      <c r="F34" s="23" t="s">
        <v>533</v>
      </c>
      <c r="G34" s="4" t="s">
        <v>534</v>
      </c>
      <c r="H34" s="29">
        <v>3</v>
      </c>
      <c r="I34" s="29">
        <v>3</v>
      </c>
      <c r="J34" s="16">
        <f t="shared" si="0"/>
        <v>9</v>
      </c>
      <c r="K34" s="5" t="s">
        <v>599</v>
      </c>
      <c r="L34" s="29">
        <v>2</v>
      </c>
      <c r="M34" s="29">
        <v>1</v>
      </c>
      <c r="N34" s="16">
        <f t="shared" si="1"/>
        <v>2</v>
      </c>
      <c r="O34" s="18">
        <v>27</v>
      </c>
      <c r="P34" s="20" t="s">
        <v>106</v>
      </c>
      <c r="Q34" s="8"/>
      <c r="R34" s="28"/>
      <c r="S34" s="20"/>
      <c r="T34" s="7"/>
    </row>
    <row r="35" spans="1:20" ht="27" thickTop="1" thickBot="1" x14ac:dyDescent="0.25">
      <c r="A35" s="7">
        <v>9</v>
      </c>
      <c r="B35" s="8" t="s">
        <v>420</v>
      </c>
      <c r="C35" s="8" t="s">
        <v>504</v>
      </c>
      <c r="D35" s="8" t="s">
        <v>422</v>
      </c>
      <c r="E35" s="7" t="s">
        <v>401</v>
      </c>
      <c r="F35" s="23" t="s">
        <v>505</v>
      </c>
      <c r="G35" s="4" t="s">
        <v>506</v>
      </c>
      <c r="H35" s="29">
        <v>1</v>
      </c>
      <c r="I35" s="29">
        <v>3</v>
      </c>
      <c r="J35" s="16">
        <f t="shared" si="0"/>
        <v>3</v>
      </c>
      <c r="K35" s="5" t="s">
        <v>507</v>
      </c>
      <c r="L35" s="29">
        <v>1</v>
      </c>
      <c r="M35" s="29">
        <v>2</v>
      </c>
      <c r="N35" s="16">
        <f t="shared" si="1"/>
        <v>2</v>
      </c>
      <c r="O35" s="18">
        <v>28</v>
      </c>
      <c r="P35" s="20" t="s">
        <v>426</v>
      </c>
      <c r="Q35" s="20"/>
      <c r="R35" s="20"/>
      <c r="S35" s="20"/>
      <c r="T35" s="7"/>
    </row>
    <row r="36" spans="1:20" ht="39.75" thickTop="1" thickBot="1" x14ac:dyDescent="0.25">
      <c r="A36" s="7">
        <v>9</v>
      </c>
      <c r="B36" s="8" t="s">
        <v>420</v>
      </c>
      <c r="C36" s="8" t="s">
        <v>504</v>
      </c>
      <c r="D36" s="8" t="s">
        <v>422</v>
      </c>
      <c r="E36" s="7" t="s">
        <v>408</v>
      </c>
      <c r="F36" s="23" t="s">
        <v>518</v>
      </c>
      <c r="G36" s="4" t="s">
        <v>519</v>
      </c>
      <c r="H36" s="29">
        <v>3</v>
      </c>
      <c r="I36" s="29">
        <v>3</v>
      </c>
      <c r="J36" s="16">
        <f t="shared" si="0"/>
        <v>9</v>
      </c>
      <c r="K36" s="5" t="s">
        <v>600</v>
      </c>
      <c r="L36" s="29">
        <v>1</v>
      </c>
      <c r="M36" s="29">
        <v>2</v>
      </c>
      <c r="N36" s="16">
        <f t="shared" si="1"/>
        <v>2</v>
      </c>
      <c r="O36" s="18">
        <v>29</v>
      </c>
      <c r="P36" s="20" t="s">
        <v>426</v>
      </c>
      <c r="Q36" s="36"/>
      <c r="R36" s="20"/>
      <c r="S36" s="20"/>
      <c r="T36" s="7"/>
    </row>
    <row r="37" spans="1:20" ht="39.75" thickTop="1" thickBot="1" x14ac:dyDescent="0.25">
      <c r="A37" s="7">
        <v>10</v>
      </c>
      <c r="B37" s="8" t="s">
        <v>435</v>
      </c>
      <c r="C37" s="8" t="s">
        <v>436</v>
      </c>
      <c r="D37" s="8" t="s">
        <v>437</v>
      </c>
      <c r="E37" s="7" t="s">
        <v>401</v>
      </c>
      <c r="F37" s="23" t="s">
        <v>468</v>
      </c>
      <c r="G37" s="4" t="s">
        <v>469</v>
      </c>
      <c r="H37" s="29">
        <v>2</v>
      </c>
      <c r="I37" s="29">
        <v>2</v>
      </c>
      <c r="J37" s="16">
        <f t="shared" si="0"/>
        <v>4</v>
      </c>
      <c r="K37" s="5" t="s">
        <v>470</v>
      </c>
      <c r="L37" s="29">
        <v>1</v>
      </c>
      <c r="M37" s="29">
        <v>2</v>
      </c>
      <c r="N37" s="16">
        <f t="shared" si="1"/>
        <v>2</v>
      </c>
      <c r="O37" s="18">
        <v>30</v>
      </c>
      <c r="P37" s="23" t="s">
        <v>208</v>
      </c>
      <c r="Q37" s="26"/>
      <c r="R37" s="26"/>
      <c r="S37" s="26"/>
      <c r="T37" s="2"/>
    </row>
    <row r="38" spans="1:20" ht="39.75" thickTop="1" thickBot="1" x14ac:dyDescent="0.25">
      <c r="A38" s="7">
        <v>10</v>
      </c>
      <c r="B38" s="8" t="s">
        <v>435</v>
      </c>
      <c r="C38" s="8" t="s">
        <v>436</v>
      </c>
      <c r="D38" s="8" t="s">
        <v>437</v>
      </c>
      <c r="E38" s="7" t="s">
        <v>401</v>
      </c>
      <c r="F38" s="23" t="s">
        <v>512</v>
      </c>
      <c r="G38" s="4" t="s">
        <v>513</v>
      </c>
      <c r="H38" s="29">
        <v>1</v>
      </c>
      <c r="I38" s="29">
        <v>3</v>
      </c>
      <c r="J38" s="16">
        <f t="shared" si="0"/>
        <v>3</v>
      </c>
      <c r="K38" s="5" t="s">
        <v>514</v>
      </c>
      <c r="L38" s="29">
        <v>1</v>
      </c>
      <c r="M38" s="29">
        <v>2</v>
      </c>
      <c r="N38" s="16">
        <f t="shared" si="1"/>
        <v>2</v>
      </c>
      <c r="O38" s="18">
        <v>31</v>
      </c>
      <c r="P38" s="23" t="s">
        <v>208</v>
      </c>
      <c r="Q38" s="26"/>
      <c r="R38" s="26"/>
      <c r="S38" s="26"/>
      <c r="T38" s="2"/>
    </row>
    <row r="39" spans="1:20" ht="52.5" thickTop="1" thickBot="1" x14ac:dyDescent="0.25">
      <c r="A39" s="7">
        <v>2</v>
      </c>
      <c r="B39" s="8" t="s">
        <v>19</v>
      </c>
      <c r="C39" s="8"/>
      <c r="D39" s="8" t="s">
        <v>427</v>
      </c>
      <c r="E39" s="7" t="s">
        <v>408</v>
      </c>
      <c r="F39" s="23" t="s">
        <v>521</v>
      </c>
      <c r="G39" s="4" t="s">
        <v>522</v>
      </c>
      <c r="H39" s="29">
        <v>2</v>
      </c>
      <c r="I39" s="29">
        <v>3</v>
      </c>
      <c r="J39" s="16">
        <f t="shared" si="0"/>
        <v>6</v>
      </c>
      <c r="K39" s="5" t="s">
        <v>523</v>
      </c>
      <c r="L39" s="29">
        <v>1</v>
      </c>
      <c r="M39" s="29">
        <v>1</v>
      </c>
      <c r="N39" s="16">
        <f t="shared" si="1"/>
        <v>1</v>
      </c>
      <c r="O39" s="18">
        <v>32</v>
      </c>
      <c r="P39" s="23" t="s">
        <v>524</v>
      </c>
      <c r="Q39" s="26"/>
      <c r="R39" s="26"/>
      <c r="S39" s="26"/>
      <c r="T39" s="2"/>
    </row>
    <row r="40" spans="1:20" ht="154.5" thickTop="1" thickBot="1" x14ac:dyDescent="0.25">
      <c r="A40" s="7">
        <v>2</v>
      </c>
      <c r="B40" s="8" t="s">
        <v>19</v>
      </c>
      <c r="C40" s="8"/>
      <c r="D40" s="8" t="s">
        <v>427</v>
      </c>
      <c r="E40" s="7" t="s">
        <v>401</v>
      </c>
      <c r="F40" s="23" t="s">
        <v>525</v>
      </c>
      <c r="G40" s="4" t="s">
        <v>526</v>
      </c>
      <c r="H40" s="29">
        <v>2</v>
      </c>
      <c r="I40" s="29">
        <v>3</v>
      </c>
      <c r="J40" s="16">
        <f t="shared" si="0"/>
        <v>6</v>
      </c>
      <c r="K40" s="5" t="s">
        <v>527</v>
      </c>
      <c r="L40" s="29">
        <v>1</v>
      </c>
      <c r="M40" s="29">
        <v>1</v>
      </c>
      <c r="N40" s="16">
        <f t="shared" si="1"/>
        <v>1</v>
      </c>
      <c r="O40" s="18">
        <v>33</v>
      </c>
      <c r="P40" s="23" t="s">
        <v>528</v>
      </c>
      <c r="Q40" s="26"/>
      <c r="R40" s="26"/>
      <c r="S40" s="26"/>
      <c r="T40" s="2"/>
    </row>
    <row r="41" spans="1:20" ht="78" thickTop="1" thickBot="1" x14ac:dyDescent="0.25">
      <c r="A41" s="7">
        <v>3</v>
      </c>
      <c r="B41" s="8" t="s">
        <v>27</v>
      </c>
      <c r="C41" s="8" t="s">
        <v>399</v>
      </c>
      <c r="D41" s="8" t="s">
        <v>400</v>
      </c>
      <c r="E41" s="7" t="s">
        <v>408</v>
      </c>
      <c r="F41" s="25" t="s">
        <v>551</v>
      </c>
      <c r="G41" s="4" t="s">
        <v>552</v>
      </c>
      <c r="H41" s="29">
        <v>1</v>
      </c>
      <c r="I41" s="29">
        <v>3</v>
      </c>
      <c r="J41" s="16">
        <f t="shared" si="0"/>
        <v>3</v>
      </c>
      <c r="K41" s="5" t="s">
        <v>601</v>
      </c>
      <c r="L41" s="29">
        <v>1</v>
      </c>
      <c r="M41" s="29">
        <v>1</v>
      </c>
      <c r="N41" s="16">
        <f t="shared" si="1"/>
        <v>1</v>
      </c>
      <c r="O41" s="18">
        <v>34</v>
      </c>
      <c r="P41" s="23" t="s">
        <v>467</v>
      </c>
      <c r="Q41" s="20"/>
      <c r="R41" s="28"/>
      <c r="S41" s="20"/>
      <c r="T41" s="7"/>
    </row>
    <row r="42" spans="1:20" ht="39.75" thickTop="1" thickBot="1" x14ac:dyDescent="0.25">
      <c r="A42" s="7">
        <v>4</v>
      </c>
      <c r="B42" s="8" t="s">
        <v>482</v>
      </c>
      <c r="C42" s="8"/>
      <c r="D42" s="8" t="s">
        <v>540</v>
      </c>
      <c r="E42" s="7" t="s">
        <v>408</v>
      </c>
      <c r="F42" s="23" t="s">
        <v>541</v>
      </c>
      <c r="G42" s="4" t="s">
        <v>542</v>
      </c>
      <c r="H42" s="29">
        <v>1</v>
      </c>
      <c r="I42" s="29">
        <v>1</v>
      </c>
      <c r="J42" s="16">
        <f t="shared" si="0"/>
        <v>1</v>
      </c>
      <c r="K42" s="5" t="s">
        <v>543</v>
      </c>
      <c r="L42" s="29">
        <v>1</v>
      </c>
      <c r="M42" s="29">
        <v>1</v>
      </c>
      <c r="N42" s="16">
        <f t="shared" si="1"/>
        <v>1</v>
      </c>
      <c r="O42" s="18">
        <v>35</v>
      </c>
      <c r="P42" s="23" t="s">
        <v>106</v>
      </c>
      <c r="Q42" s="23"/>
      <c r="R42" s="23"/>
      <c r="S42" s="23"/>
      <c r="T42" s="2"/>
    </row>
    <row r="43" spans="1:20" ht="39.75" thickTop="1" thickBot="1" x14ac:dyDescent="0.25">
      <c r="A43" s="7">
        <v>4</v>
      </c>
      <c r="B43" s="8" t="s">
        <v>482</v>
      </c>
      <c r="C43" s="8" t="s">
        <v>486</v>
      </c>
      <c r="D43" s="8" t="s">
        <v>413</v>
      </c>
      <c r="E43" s="7" t="s">
        <v>408</v>
      </c>
      <c r="F43" s="23" t="s">
        <v>515</v>
      </c>
      <c r="G43" s="4" t="s">
        <v>516</v>
      </c>
      <c r="H43" s="29">
        <v>3</v>
      </c>
      <c r="I43" s="29">
        <v>3</v>
      </c>
      <c r="J43" s="16">
        <f t="shared" si="0"/>
        <v>9</v>
      </c>
      <c r="K43" s="5" t="s">
        <v>602</v>
      </c>
      <c r="L43" s="29">
        <v>1</v>
      </c>
      <c r="M43" s="29">
        <v>1</v>
      </c>
      <c r="N43" s="16">
        <f t="shared" si="1"/>
        <v>1</v>
      </c>
      <c r="O43" s="18">
        <v>36</v>
      </c>
      <c r="P43" s="23" t="s">
        <v>491</v>
      </c>
      <c r="Q43" s="23"/>
      <c r="R43" s="23"/>
      <c r="S43" s="23"/>
      <c r="T43" s="2"/>
    </row>
    <row r="44" spans="1:20" ht="39.75" thickTop="1" thickBot="1" x14ac:dyDescent="0.25">
      <c r="A44" s="7">
        <v>5</v>
      </c>
      <c r="B44" s="8" t="s">
        <v>12</v>
      </c>
      <c r="C44" s="8"/>
      <c r="D44" s="8" t="s">
        <v>427</v>
      </c>
      <c r="E44" s="7" t="s">
        <v>408</v>
      </c>
      <c r="F44" s="23" t="s">
        <v>566</v>
      </c>
      <c r="G44" s="4" t="s">
        <v>567</v>
      </c>
      <c r="H44" s="29">
        <v>1</v>
      </c>
      <c r="I44" s="29">
        <v>2</v>
      </c>
      <c r="J44" s="16">
        <f t="shared" si="0"/>
        <v>2</v>
      </c>
      <c r="K44" s="5" t="s">
        <v>568</v>
      </c>
      <c r="L44" s="29">
        <v>1</v>
      </c>
      <c r="M44" s="29">
        <v>1</v>
      </c>
      <c r="N44" s="16">
        <f t="shared" si="1"/>
        <v>1</v>
      </c>
      <c r="O44" s="18">
        <v>37</v>
      </c>
      <c r="P44" s="23" t="s">
        <v>569</v>
      </c>
      <c r="Q44" s="23"/>
      <c r="R44" s="23"/>
      <c r="S44" s="23"/>
      <c r="T44" s="2"/>
    </row>
    <row r="45" spans="1:20" ht="39.75" thickTop="1" thickBot="1" x14ac:dyDescent="0.25">
      <c r="A45" s="7">
        <v>5</v>
      </c>
      <c r="B45" s="8" t="s">
        <v>12</v>
      </c>
      <c r="C45" s="8"/>
      <c r="D45" s="8" t="s">
        <v>427</v>
      </c>
      <c r="E45" s="7" t="s">
        <v>408</v>
      </c>
      <c r="F45" s="23" t="s">
        <v>554</v>
      </c>
      <c r="G45" s="4" t="s">
        <v>555</v>
      </c>
      <c r="H45" s="29">
        <v>1</v>
      </c>
      <c r="I45" s="29">
        <v>3</v>
      </c>
      <c r="J45" s="16">
        <f t="shared" si="0"/>
        <v>3</v>
      </c>
      <c r="K45" s="5" t="s">
        <v>556</v>
      </c>
      <c r="L45" s="29">
        <v>1</v>
      </c>
      <c r="M45" s="29">
        <v>1</v>
      </c>
      <c r="N45" s="16">
        <f t="shared" si="1"/>
        <v>1</v>
      </c>
      <c r="O45" s="18">
        <v>38</v>
      </c>
      <c r="P45" s="23" t="s">
        <v>450</v>
      </c>
      <c r="Q45" s="23"/>
      <c r="R45" s="23"/>
      <c r="S45" s="23"/>
      <c r="T45" s="2"/>
    </row>
    <row r="46" spans="1:20" ht="39.75" thickTop="1" thickBot="1" x14ac:dyDescent="0.25">
      <c r="A46" s="7">
        <v>5</v>
      </c>
      <c r="B46" s="8" t="s">
        <v>12</v>
      </c>
      <c r="C46" s="8"/>
      <c r="D46" s="8" t="s">
        <v>427</v>
      </c>
      <c r="E46" s="7" t="s">
        <v>408</v>
      </c>
      <c r="F46" s="23" t="s">
        <v>529</v>
      </c>
      <c r="G46" s="4" t="s">
        <v>530</v>
      </c>
      <c r="H46" s="29">
        <v>2</v>
      </c>
      <c r="I46" s="29">
        <v>3</v>
      </c>
      <c r="J46" s="16">
        <f t="shared" si="0"/>
        <v>6</v>
      </c>
      <c r="K46" s="5" t="s">
        <v>531</v>
      </c>
      <c r="L46" s="29">
        <v>1</v>
      </c>
      <c r="M46" s="29">
        <v>1</v>
      </c>
      <c r="N46" s="16">
        <f t="shared" si="1"/>
        <v>1</v>
      </c>
      <c r="O46" s="18">
        <v>39</v>
      </c>
      <c r="P46" s="23" t="s">
        <v>450</v>
      </c>
      <c r="Q46" s="23"/>
      <c r="R46" s="23"/>
      <c r="S46" s="23"/>
      <c r="T46" s="2"/>
    </row>
    <row r="47" spans="1:20" ht="27" thickTop="1" thickBot="1" x14ac:dyDescent="0.25">
      <c r="A47" s="7">
        <v>8</v>
      </c>
      <c r="B47" s="8" t="s">
        <v>495</v>
      </c>
      <c r="C47" s="8" t="s">
        <v>496</v>
      </c>
      <c r="D47" s="8" t="s">
        <v>570</v>
      </c>
      <c r="E47" s="7" t="s">
        <v>408</v>
      </c>
      <c r="F47" s="23" t="s">
        <v>571</v>
      </c>
      <c r="G47" s="4" t="s">
        <v>572</v>
      </c>
      <c r="H47" s="29">
        <v>1</v>
      </c>
      <c r="I47" s="29">
        <v>1</v>
      </c>
      <c r="J47" s="16">
        <f t="shared" si="0"/>
        <v>1</v>
      </c>
      <c r="K47" s="5" t="s">
        <v>573</v>
      </c>
      <c r="L47" s="29">
        <v>1</v>
      </c>
      <c r="M47" s="29">
        <v>1</v>
      </c>
      <c r="N47" s="16">
        <f t="shared" si="1"/>
        <v>1</v>
      </c>
      <c r="O47" s="18">
        <v>40</v>
      </c>
      <c r="P47" s="20" t="s">
        <v>106</v>
      </c>
      <c r="Q47" s="20"/>
      <c r="R47" s="20"/>
      <c r="S47" s="20"/>
      <c r="T47" s="7"/>
    </row>
    <row r="48" spans="1:20" ht="90.75" thickTop="1" thickBot="1" x14ac:dyDescent="0.25">
      <c r="A48" s="7">
        <v>8</v>
      </c>
      <c r="B48" s="8" t="s">
        <v>495</v>
      </c>
      <c r="C48" s="8" t="s">
        <v>562</v>
      </c>
      <c r="D48" s="8" t="s">
        <v>427</v>
      </c>
      <c r="E48" s="7" t="s">
        <v>408</v>
      </c>
      <c r="F48" s="23" t="s">
        <v>563</v>
      </c>
      <c r="G48" s="4" t="s">
        <v>564</v>
      </c>
      <c r="H48" s="29">
        <v>1</v>
      </c>
      <c r="I48" s="29">
        <v>2</v>
      </c>
      <c r="J48" s="16">
        <f t="shared" si="0"/>
        <v>2</v>
      </c>
      <c r="K48" s="5" t="s">
        <v>603</v>
      </c>
      <c r="L48" s="29">
        <v>1</v>
      </c>
      <c r="M48" s="29">
        <v>1</v>
      </c>
      <c r="N48" s="16">
        <f t="shared" si="1"/>
        <v>1</v>
      </c>
      <c r="O48" s="18">
        <v>41</v>
      </c>
      <c r="P48" s="20" t="s">
        <v>511</v>
      </c>
      <c r="Q48" s="20"/>
      <c r="R48" s="20"/>
      <c r="S48" s="20"/>
      <c r="T48" s="7"/>
    </row>
    <row r="49" spans="1:20" ht="39.75" thickTop="1" thickBot="1" x14ac:dyDescent="0.25">
      <c r="A49" s="7">
        <v>9</v>
      </c>
      <c r="B49" s="8" t="s">
        <v>420</v>
      </c>
      <c r="C49" s="8" t="s">
        <v>536</v>
      </c>
      <c r="D49" s="8" t="s">
        <v>422</v>
      </c>
      <c r="E49" s="7" t="s">
        <v>408</v>
      </c>
      <c r="F49" s="23" t="s">
        <v>537</v>
      </c>
      <c r="G49" s="4" t="s">
        <v>538</v>
      </c>
      <c r="H49" s="29">
        <v>3</v>
      </c>
      <c r="I49" s="29">
        <v>2</v>
      </c>
      <c r="J49" s="16">
        <f t="shared" si="0"/>
        <v>6</v>
      </c>
      <c r="K49" s="5" t="s">
        <v>539</v>
      </c>
      <c r="L49" s="29">
        <v>1</v>
      </c>
      <c r="M49" s="29">
        <v>1</v>
      </c>
      <c r="N49" s="16">
        <f t="shared" si="1"/>
        <v>1</v>
      </c>
      <c r="O49" s="18">
        <v>42</v>
      </c>
      <c r="P49" s="20" t="s">
        <v>426</v>
      </c>
      <c r="Q49" s="20"/>
      <c r="R49" s="20"/>
      <c r="S49" s="20"/>
      <c r="T49" s="7"/>
    </row>
    <row r="50" spans="1:20" ht="39.75" thickTop="1" thickBot="1" x14ac:dyDescent="0.25">
      <c r="A50" s="7">
        <v>11</v>
      </c>
      <c r="B50" s="8" t="s">
        <v>405</v>
      </c>
      <c r="C50" s="8" t="s">
        <v>574</v>
      </c>
      <c r="D50" s="8" t="s">
        <v>427</v>
      </c>
      <c r="E50" s="7" t="s">
        <v>408</v>
      </c>
      <c r="F50" s="23" t="s">
        <v>575</v>
      </c>
      <c r="G50" s="4" t="s">
        <v>576</v>
      </c>
      <c r="H50" s="29">
        <v>1</v>
      </c>
      <c r="I50" s="29">
        <v>2</v>
      </c>
      <c r="J50" s="16">
        <f t="shared" si="0"/>
        <v>2</v>
      </c>
      <c r="K50" s="5" t="s">
        <v>577</v>
      </c>
      <c r="L50" s="29">
        <v>1</v>
      </c>
      <c r="M50" s="29">
        <v>1</v>
      </c>
      <c r="N50" s="16">
        <f t="shared" si="1"/>
        <v>1</v>
      </c>
      <c r="O50" s="18">
        <v>43</v>
      </c>
      <c r="P50" s="20" t="s">
        <v>412</v>
      </c>
      <c r="Q50" s="20"/>
      <c r="R50" s="20"/>
      <c r="S50" s="20"/>
      <c r="T50" s="8"/>
    </row>
    <row r="51" spans="1:20" ht="65.25" thickTop="1" thickBot="1" x14ac:dyDescent="0.25">
      <c r="A51" s="7">
        <v>11</v>
      </c>
      <c r="B51" s="8" t="s">
        <v>405</v>
      </c>
      <c r="C51" s="8" t="s">
        <v>406</v>
      </c>
      <c r="D51" s="8" t="s">
        <v>407</v>
      </c>
      <c r="E51" s="7" t="s">
        <v>408</v>
      </c>
      <c r="F51" s="23" t="s">
        <v>578</v>
      </c>
      <c r="G51" s="4" t="s">
        <v>410</v>
      </c>
      <c r="H51" s="29">
        <v>1</v>
      </c>
      <c r="I51" s="29">
        <v>1</v>
      </c>
      <c r="J51" s="16">
        <f t="shared" si="0"/>
        <v>1</v>
      </c>
      <c r="K51" s="5" t="s">
        <v>579</v>
      </c>
      <c r="L51" s="29">
        <v>1</v>
      </c>
      <c r="M51" s="29">
        <v>1</v>
      </c>
      <c r="N51" s="16">
        <f t="shared" si="1"/>
        <v>1</v>
      </c>
      <c r="O51" s="18">
        <v>44</v>
      </c>
      <c r="P51" s="20" t="s">
        <v>106</v>
      </c>
      <c r="Q51" s="20"/>
      <c r="R51" s="20"/>
      <c r="S51" s="20"/>
      <c r="T51" s="8"/>
    </row>
    <row r="52" spans="1:20" ht="39.75" thickTop="1" thickBot="1" x14ac:dyDescent="0.25">
      <c r="A52" s="7">
        <v>11</v>
      </c>
      <c r="B52" s="8" t="s">
        <v>405</v>
      </c>
      <c r="C52" s="8" t="s">
        <v>547</v>
      </c>
      <c r="D52" s="8" t="s">
        <v>427</v>
      </c>
      <c r="E52" s="7" t="s">
        <v>408</v>
      </c>
      <c r="F52" s="23" t="s">
        <v>548</v>
      </c>
      <c r="G52" s="4" t="s">
        <v>549</v>
      </c>
      <c r="H52" s="29">
        <v>2</v>
      </c>
      <c r="I52" s="29">
        <v>2</v>
      </c>
      <c r="J52" s="16">
        <f t="shared" si="0"/>
        <v>4</v>
      </c>
      <c r="K52" s="5" t="s">
        <v>550</v>
      </c>
      <c r="L52" s="29">
        <v>1</v>
      </c>
      <c r="M52" s="29">
        <v>1</v>
      </c>
      <c r="N52" s="16">
        <f t="shared" si="1"/>
        <v>1</v>
      </c>
      <c r="O52" s="18">
        <v>45</v>
      </c>
      <c r="P52" s="20" t="s">
        <v>412</v>
      </c>
      <c r="Q52" s="20"/>
      <c r="R52" s="20"/>
      <c r="S52" s="20"/>
      <c r="T52" s="8"/>
    </row>
    <row r="53" spans="1:20" ht="13.5" thickTop="1" x14ac:dyDescent="0.2">
      <c r="E53" s="19" t="s">
        <v>581</v>
      </c>
      <c r="G53" s="6">
        <f>COUNTA(G8:G52)</f>
        <v>45</v>
      </c>
    </row>
  </sheetData>
  <autoFilter ref="A6:U7" xr:uid="{00000000-0009-0000-0000-000008000000}">
    <filterColumn colId="7" showButton="0"/>
    <filterColumn colId="11" showButton="0"/>
    <sortState xmlns:xlrd2="http://schemas.microsoft.com/office/spreadsheetml/2017/richdata2" ref="A9:U53">
      <sortCondition descending="1" ref="N6:N7"/>
    </sortState>
  </autoFilter>
  <mergeCells count="12">
    <mergeCell ref="A6:A7"/>
    <mergeCell ref="B6:B7"/>
    <mergeCell ref="C6:C7"/>
    <mergeCell ref="F6:F7"/>
    <mergeCell ref="G6:G7"/>
    <mergeCell ref="O6:O7"/>
    <mergeCell ref="P6:P7"/>
    <mergeCell ref="H6:I6"/>
    <mergeCell ref="J6:J7"/>
    <mergeCell ref="K6:K7"/>
    <mergeCell ref="L6:M6"/>
    <mergeCell ref="N6:N7"/>
  </mergeCells>
  <phoneticPr fontId="0" type="noConversion"/>
  <conditionalFormatting sqref="H8:J20 L8:M20 H22:J23 L22:M23 H25:J26 L25:M26 H33:J33 L33:M33 H39:J43 L39:M43 H46:J52 L46:M52">
    <cfRule type="cellIs" dxfId="43" priority="89" stopIfTrue="1" operator="equal">
      <formula>"M"</formula>
    </cfRule>
    <cfRule type="cellIs" dxfId="42" priority="88" stopIfTrue="1" operator="equal">
      <formula>"H"</formula>
    </cfRule>
    <cfRule type="cellIs" dxfId="41" priority="90" stopIfTrue="1" operator="equal">
      <formula>"L"</formula>
    </cfRule>
  </conditionalFormatting>
  <conditionalFormatting sqref="H8:J20 L8:M20 H22:J23 L22:M23 L46:M52 H46:J52 L25:M26 H25:J26 L39:M43 H39:J43 L33:M33 H33:J33">
    <cfRule type="colorScale" priority="87">
      <colorScale>
        <cfvo type="num" val="1"/>
        <cfvo type="num" val="2"/>
        <cfvo type="num" val="3"/>
        <color rgb="FF92D050"/>
        <color rgb="FFFFFF00"/>
        <color rgb="FFFF0000"/>
      </colorScale>
    </cfRule>
  </conditionalFormatting>
  <conditionalFormatting sqref="H21:J21 L21:M21">
    <cfRule type="cellIs" dxfId="40" priority="23" stopIfTrue="1" operator="equal">
      <formula>"M"</formula>
    </cfRule>
    <cfRule type="colorScale" priority="21">
      <colorScale>
        <cfvo type="num" val="1"/>
        <cfvo type="num" val="2"/>
        <cfvo type="num" val="3"/>
        <color rgb="FF92D050"/>
        <color rgb="FFFFFF00"/>
        <color rgb="FFFF0000"/>
      </colorScale>
    </cfRule>
    <cfRule type="cellIs" dxfId="39" priority="22" stopIfTrue="1" operator="equal">
      <formula>"H"</formula>
    </cfRule>
    <cfRule type="cellIs" dxfId="38" priority="24" stopIfTrue="1" operator="equal">
      <formula>"L"</formula>
    </cfRule>
  </conditionalFormatting>
  <conditionalFormatting sqref="H24:J24 L24:M24">
    <cfRule type="cellIs" dxfId="37" priority="78" stopIfTrue="1" operator="equal">
      <formula>"H"</formula>
    </cfRule>
    <cfRule type="cellIs" dxfId="36" priority="80" stopIfTrue="1" operator="equal">
      <formula>"L"</formula>
    </cfRule>
    <cfRule type="cellIs" dxfId="35" priority="79" stopIfTrue="1" operator="equal">
      <formula>"M"</formula>
    </cfRule>
  </conditionalFormatting>
  <conditionalFormatting sqref="H27:J27 L27:M27">
    <cfRule type="cellIs" dxfId="34" priority="6" stopIfTrue="1" operator="equal">
      <formula>"H"</formula>
    </cfRule>
    <cfRule type="cellIs" dxfId="33" priority="7" stopIfTrue="1" operator="equal">
      <formula>"M"</formula>
    </cfRule>
    <cfRule type="cellIs" dxfId="32" priority="8" stopIfTrue="1" operator="equal">
      <formula>"L"</formula>
    </cfRule>
  </conditionalFormatting>
  <conditionalFormatting sqref="H28:J29 L28:M29">
    <cfRule type="cellIs" dxfId="31" priority="72" stopIfTrue="1" operator="equal">
      <formula>"L"</formula>
    </cfRule>
    <cfRule type="cellIs" dxfId="30" priority="71" stopIfTrue="1" operator="equal">
      <formula>"M"</formula>
    </cfRule>
    <cfRule type="cellIs" dxfId="29" priority="70" stopIfTrue="1" operator="equal">
      <formula>"H"</formula>
    </cfRule>
  </conditionalFormatting>
  <conditionalFormatting sqref="H30:J30 L30:M30">
    <cfRule type="cellIs" dxfId="28" priority="64" stopIfTrue="1" operator="equal">
      <formula>"L"</formula>
    </cfRule>
    <cfRule type="cellIs" dxfId="27" priority="63" stopIfTrue="1" operator="equal">
      <formula>"M"</formula>
    </cfRule>
    <cfRule type="cellIs" dxfId="26" priority="62" stopIfTrue="1" operator="equal">
      <formula>"H"</formula>
    </cfRule>
  </conditionalFormatting>
  <conditionalFormatting sqref="H31:J32 L31:M32">
    <cfRule type="cellIs" dxfId="25" priority="54" stopIfTrue="1" operator="equal">
      <formula>"H"</formula>
    </cfRule>
    <cfRule type="cellIs" dxfId="24" priority="56" stopIfTrue="1" operator="equal">
      <formula>"L"</formula>
    </cfRule>
    <cfRule type="cellIs" dxfId="23" priority="55" stopIfTrue="1" operator="equal">
      <formula>"M"</formula>
    </cfRule>
  </conditionalFormatting>
  <conditionalFormatting sqref="H34:J35 L34:M35 H37:J38 L37:M38">
    <cfRule type="cellIs" dxfId="22" priority="48" stopIfTrue="1" operator="equal">
      <formula>"L"</formula>
    </cfRule>
    <cfRule type="cellIs" dxfId="21" priority="47" stopIfTrue="1" operator="equal">
      <formula>"M"</formula>
    </cfRule>
    <cfRule type="cellIs" dxfId="20" priority="46" stopIfTrue="1" operator="equal">
      <formula>"H"</formula>
    </cfRule>
  </conditionalFormatting>
  <conditionalFormatting sqref="H36:J36 L36:M36">
    <cfRule type="colorScale" priority="13">
      <colorScale>
        <cfvo type="num" val="1"/>
        <cfvo type="num" val="2"/>
        <cfvo type="num" val="3"/>
        <color rgb="FF92D050"/>
        <color rgb="FFFFFF00"/>
        <color rgb="FFFF0000"/>
      </colorScale>
    </cfRule>
    <cfRule type="cellIs" dxfId="19" priority="14" stopIfTrue="1" operator="equal">
      <formula>"H"</formula>
    </cfRule>
    <cfRule type="cellIs" dxfId="18" priority="15" stopIfTrue="1" operator="equal">
      <formula>"M"</formula>
    </cfRule>
    <cfRule type="cellIs" dxfId="17" priority="16" stopIfTrue="1" operator="equal">
      <formula>"L"</formula>
    </cfRule>
  </conditionalFormatting>
  <conditionalFormatting sqref="H44:J44 L44:M44">
    <cfRule type="colorScale" priority="37">
      <colorScale>
        <cfvo type="num" val="1"/>
        <cfvo type="num" val="2"/>
        <cfvo type="num" val="3"/>
        <color rgb="FF92D050"/>
        <color rgb="FFFFFF00"/>
        <color rgb="FFFF0000"/>
      </colorScale>
    </cfRule>
    <cfRule type="cellIs" dxfId="16" priority="38" stopIfTrue="1" operator="equal">
      <formula>"H"</formula>
    </cfRule>
    <cfRule type="cellIs" dxfId="15" priority="39" stopIfTrue="1" operator="equal">
      <formula>"M"</formula>
    </cfRule>
    <cfRule type="cellIs" dxfId="14" priority="40" stopIfTrue="1" operator="equal">
      <formula>"L"</formula>
    </cfRule>
  </conditionalFormatting>
  <conditionalFormatting sqref="H45:J45 L45:M45">
    <cfRule type="colorScale" priority="29">
      <colorScale>
        <cfvo type="num" val="1"/>
        <cfvo type="num" val="2"/>
        <cfvo type="num" val="3"/>
        <color rgb="FF92D050"/>
        <color rgb="FFFFFF00"/>
        <color rgb="FFFF0000"/>
      </colorScale>
    </cfRule>
    <cfRule type="cellIs" dxfId="13" priority="30" stopIfTrue="1" operator="equal">
      <formula>"H"</formula>
    </cfRule>
    <cfRule type="cellIs" dxfId="12" priority="31" stopIfTrue="1" operator="equal">
      <formula>"M"</formula>
    </cfRule>
    <cfRule type="cellIs" dxfId="11" priority="32" stopIfTrue="1" operator="equal">
      <formula>"L"</formula>
    </cfRule>
  </conditionalFormatting>
  <conditionalFormatting sqref="J8:J20 N8:N20 N22:N23 J23 N25:N26 J26 J33 N33 J39:J43 N39:N43 J46:J52 N46:N52">
    <cfRule type="cellIs" dxfId="10" priority="85" operator="between">
      <formula>1</formula>
      <formula>2</formula>
    </cfRule>
  </conditionalFormatting>
  <conditionalFormatting sqref="J24 N24">
    <cfRule type="cellIs" dxfId="9" priority="75" operator="between">
      <formula>1</formula>
      <formula>2</formula>
    </cfRule>
  </conditionalFormatting>
  <conditionalFormatting sqref="J27 N27">
    <cfRule type="colorScale" priority="2">
      <colorScale>
        <cfvo type="formula" val="1.2"/>
        <cfvo type="formula" val="3.4"/>
        <cfvo type="formula" val="6.9"/>
        <color rgb="FF92D050"/>
        <color rgb="FFFFFF00"/>
        <color rgb="FFFF0000"/>
      </colorScale>
    </cfRule>
    <cfRule type="cellIs" dxfId="8" priority="3" operator="between">
      <formula>1</formula>
      <formula>2</formula>
    </cfRule>
    <cfRule type="colorScale" priority="4">
      <colorScale>
        <cfvo type="formula" val="&quot;&lt;3&quot;"/>
        <cfvo type="formula" val="&quot;je mezi 4-6&quot;"/>
        <cfvo type="formula" val="&quot;&gt;6&quot;"/>
        <color rgb="FF92D050"/>
        <color rgb="FFFFFF00"/>
        <color rgb="FFFF0000"/>
      </colorScale>
    </cfRule>
    <cfRule type="colorScale" priority="1">
      <colorScale>
        <cfvo type="num" val="1.2"/>
        <cfvo type="num" val="3.4"/>
        <cfvo type="num" val="6.9"/>
        <color rgb="FF92D050"/>
        <color rgb="FFFFEB84"/>
        <color rgb="FFFF0000"/>
      </colorScale>
    </cfRule>
  </conditionalFormatting>
  <conditionalFormatting sqref="J28:J29 N28:N29">
    <cfRule type="cellIs" dxfId="7" priority="67" operator="between">
      <formula>1</formula>
      <formula>2</formula>
    </cfRule>
    <cfRule type="colorScale" priority="68">
      <colorScale>
        <cfvo type="formula" val="&quot;&lt;3&quot;"/>
        <cfvo type="formula" val="&quot;je mezi 4-6&quot;"/>
        <cfvo type="formula" val="&quot;&gt;6&quot;"/>
        <color rgb="FF92D050"/>
        <color rgb="FFFFFF00"/>
        <color rgb="FFFF0000"/>
      </colorScale>
    </cfRule>
    <cfRule type="colorScale" priority="66">
      <colorScale>
        <cfvo type="formula" val="1.2"/>
        <cfvo type="formula" val="3.4"/>
        <cfvo type="formula" val="6.9"/>
        <color rgb="FF92D050"/>
        <color rgb="FFFFFF00"/>
        <color rgb="FFFF0000"/>
      </colorScale>
    </cfRule>
  </conditionalFormatting>
  <conditionalFormatting sqref="J30 N30">
    <cfRule type="colorScale" priority="57">
      <colorScale>
        <cfvo type="num" val="1.2"/>
        <cfvo type="num" val="3.4"/>
        <cfvo type="num" val="6.9"/>
        <color rgb="FF92D050"/>
        <color rgb="FFFFEB84"/>
        <color rgb="FFFF0000"/>
      </colorScale>
    </cfRule>
    <cfRule type="colorScale" priority="58">
      <colorScale>
        <cfvo type="formula" val="1.2"/>
        <cfvo type="formula" val="3.4"/>
        <cfvo type="formula" val="6.9"/>
        <color rgb="FF92D050"/>
        <color rgb="FFFFFF00"/>
        <color rgb="FFFF0000"/>
      </colorScale>
    </cfRule>
    <cfRule type="cellIs" dxfId="6" priority="59" operator="between">
      <formula>1</formula>
      <formula>2</formula>
    </cfRule>
    <cfRule type="colorScale" priority="60">
      <colorScale>
        <cfvo type="formula" val="&quot;&lt;3&quot;"/>
        <cfvo type="formula" val="&quot;je mezi 4-6&quot;"/>
        <cfvo type="formula" val="&quot;&gt;6&quot;"/>
        <color rgb="FF92D050"/>
        <color rgb="FFFFFF00"/>
        <color rgb="FFFF0000"/>
      </colorScale>
    </cfRule>
  </conditionalFormatting>
  <conditionalFormatting sqref="J31:J32 N31:N32">
    <cfRule type="colorScale" priority="50">
      <colorScale>
        <cfvo type="formula" val="1.2"/>
        <cfvo type="formula" val="3.4"/>
        <cfvo type="formula" val="6.9"/>
        <color rgb="FF92D050"/>
        <color rgb="FFFFFF00"/>
        <color rgb="FFFF0000"/>
      </colorScale>
    </cfRule>
    <cfRule type="colorScale" priority="49">
      <colorScale>
        <cfvo type="num" val="1.2"/>
        <cfvo type="num" val="3.4"/>
        <cfvo type="num" val="6.9"/>
        <color rgb="FF92D050"/>
        <color rgb="FFFFEB84"/>
        <color rgb="FFFF0000"/>
      </colorScale>
    </cfRule>
    <cfRule type="cellIs" dxfId="5" priority="51" operator="between">
      <formula>1</formula>
      <formula>2</formula>
    </cfRule>
    <cfRule type="colorScale" priority="52">
      <colorScale>
        <cfvo type="formula" val="&quot;&lt;3&quot;"/>
        <cfvo type="formula" val="&quot;je mezi 4-6&quot;"/>
        <cfvo type="formula" val="&quot;&gt;6&quot;"/>
        <color rgb="FF92D050"/>
        <color rgb="FFFFFF00"/>
        <color rgb="FFFF0000"/>
      </colorScale>
    </cfRule>
  </conditionalFormatting>
  <conditionalFormatting sqref="J33 N33 J23 N8:N20 J8:J20 N39:N43 J39:J43 N22:N23 J46:J52 N46:N52 J26 N25:N26">
    <cfRule type="colorScale" priority="84">
      <colorScale>
        <cfvo type="formula" val="1.2"/>
        <cfvo type="formula" val="3.4"/>
        <cfvo type="formula" val="6.9"/>
        <color rgb="FF92D050"/>
        <color rgb="FFFFFF00"/>
        <color rgb="FFFF0000"/>
      </colorScale>
    </cfRule>
    <cfRule type="colorScale" priority="86">
      <colorScale>
        <cfvo type="formula" val="&quot;&lt;3&quot;"/>
        <cfvo type="formula" val="&quot;je mezi 4-6&quot;"/>
        <cfvo type="formula" val="&quot;&gt;6&quot;"/>
        <color rgb="FF92D050"/>
        <color rgb="FFFFFF00"/>
        <color rgb="FFFF0000"/>
      </colorScale>
    </cfRule>
  </conditionalFormatting>
  <conditionalFormatting sqref="J34:J35 N34:N35 J37:J38 N37:N38">
    <cfRule type="cellIs" dxfId="4" priority="43" operator="between">
      <formula>1</formula>
      <formula>2</formula>
    </cfRule>
  </conditionalFormatting>
  <conditionalFormatting sqref="J34:J35 N34:N35 N37:N38 J37:J38">
    <cfRule type="colorScale" priority="44">
      <colorScale>
        <cfvo type="formula" val="&quot;&lt;3&quot;"/>
        <cfvo type="formula" val="&quot;je mezi 4-6&quot;"/>
        <cfvo type="formula" val="&quot;&gt;6&quot;"/>
        <color rgb="FF92D050"/>
        <color rgb="FFFFFF00"/>
        <color rgb="FFFF0000"/>
      </colorScale>
    </cfRule>
    <cfRule type="colorScale" priority="42">
      <colorScale>
        <cfvo type="formula" val="1.2"/>
        <cfvo type="formula" val="3.4"/>
        <cfvo type="formula" val="6.9"/>
        <color rgb="FF92D050"/>
        <color rgb="FFFFFF00"/>
        <color rgb="FFFF0000"/>
      </colorScale>
    </cfRule>
    <cfRule type="colorScale" priority="41">
      <colorScale>
        <cfvo type="num" val="1.2"/>
        <cfvo type="num" val="3.4"/>
        <cfvo type="num" val="6.9"/>
        <color rgb="FF92D050"/>
        <color rgb="FFFFEB84"/>
        <color rgb="FFFF0000"/>
      </colorScale>
    </cfRule>
  </conditionalFormatting>
  <conditionalFormatting sqref="J36 N36">
    <cfRule type="colorScale" priority="12">
      <colorScale>
        <cfvo type="formula" val="&quot;&lt;3&quot;"/>
        <cfvo type="formula" val="&quot;je mezi 4-6&quot;"/>
        <cfvo type="formula" val="&quot;&gt;6&quot;"/>
        <color rgb="FF92D050"/>
        <color rgb="FFFFFF00"/>
        <color rgb="FFFF0000"/>
      </colorScale>
    </cfRule>
    <cfRule type="cellIs" dxfId="3" priority="11" operator="between">
      <formula>1</formula>
      <formula>2</formula>
    </cfRule>
    <cfRule type="colorScale" priority="10">
      <colorScale>
        <cfvo type="formula" val="1.2"/>
        <cfvo type="formula" val="3.4"/>
        <cfvo type="formula" val="6.9"/>
        <color rgb="FF92D050"/>
        <color rgb="FFFFFF00"/>
        <color rgb="FFFF0000"/>
      </colorScale>
    </cfRule>
    <cfRule type="colorScale" priority="9">
      <colorScale>
        <cfvo type="num" val="1.2"/>
        <cfvo type="num" val="3.4"/>
        <cfvo type="num" val="6.9"/>
        <color rgb="FF92D050"/>
        <color rgb="FFFFEB84"/>
        <color rgb="FFFF0000"/>
      </colorScale>
    </cfRule>
  </conditionalFormatting>
  <conditionalFormatting sqref="J44 N44">
    <cfRule type="cellIs" dxfId="2" priority="35" operator="between">
      <formula>1</formula>
      <formula>2</formula>
    </cfRule>
  </conditionalFormatting>
  <conditionalFormatting sqref="J45 N45">
    <cfRule type="cellIs" dxfId="1" priority="27" operator="between">
      <formula>1</formula>
      <formula>2</formula>
    </cfRule>
    <cfRule type="colorScale" priority="25">
      <colorScale>
        <cfvo type="num" val="1.2"/>
        <cfvo type="num" val="3.4"/>
        <cfvo type="num" val="6.9"/>
        <color rgb="FF92D050"/>
        <color rgb="FFFFEB84"/>
        <color rgb="FFFF0000"/>
      </colorScale>
    </cfRule>
    <cfRule type="colorScale" priority="26">
      <colorScale>
        <cfvo type="formula" val="1.2"/>
        <cfvo type="formula" val="3.4"/>
        <cfvo type="formula" val="6.9"/>
        <color rgb="FF92D050"/>
        <color rgb="FFFFFF00"/>
        <color rgb="FFFF0000"/>
      </colorScale>
    </cfRule>
    <cfRule type="colorScale" priority="28">
      <colorScale>
        <cfvo type="formula" val="&quot;&lt;3&quot;"/>
        <cfvo type="formula" val="&quot;je mezi 4-6&quot;"/>
        <cfvo type="formula" val="&quot;&gt;6&quot;"/>
        <color rgb="FF92D050"/>
        <color rgb="FFFFFF00"/>
        <color rgb="FFFF0000"/>
      </colorScale>
    </cfRule>
  </conditionalFormatting>
  <conditionalFormatting sqref="L24:M24 H24:J24">
    <cfRule type="colorScale" priority="77">
      <colorScale>
        <cfvo type="num" val="1"/>
        <cfvo type="num" val="2"/>
        <cfvo type="num" val="3"/>
        <color rgb="FF92D050"/>
        <color rgb="FFFFFF00"/>
        <color rgb="FFFF0000"/>
      </colorScale>
    </cfRule>
  </conditionalFormatting>
  <conditionalFormatting sqref="L27:M27 H27:J27">
    <cfRule type="colorScale" priority="5">
      <colorScale>
        <cfvo type="num" val="1"/>
        <cfvo type="num" val="2"/>
        <cfvo type="num" val="3"/>
        <color rgb="FF92D050"/>
        <color rgb="FFFFFF00"/>
        <color rgb="FFFF0000"/>
      </colorScale>
    </cfRule>
  </conditionalFormatting>
  <conditionalFormatting sqref="L28:M29 H28:J29">
    <cfRule type="colorScale" priority="69">
      <colorScale>
        <cfvo type="num" val="1"/>
        <cfvo type="num" val="2"/>
        <cfvo type="num" val="3"/>
        <color rgb="FF92D050"/>
        <color rgb="FFFFFF00"/>
        <color rgb="FFFF0000"/>
      </colorScale>
    </cfRule>
  </conditionalFormatting>
  <conditionalFormatting sqref="L30:M30 H30:J30">
    <cfRule type="colorScale" priority="61">
      <colorScale>
        <cfvo type="num" val="1"/>
        <cfvo type="num" val="2"/>
        <cfvo type="num" val="3"/>
        <color rgb="FF92D050"/>
        <color rgb="FFFFFF00"/>
        <color rgb="FFFF0000"/>
      </colorScale>
    </cfRule>
  </conditionalFormatting>
  <conditionalFormatting sqref="L31:M32 H31:J32">
    <cfRule type="colorScale" priority="53">
      <colorScale>
        <cfvo type="num" val="1"/>
        <cfvo type="num" val="2"/>
        <cfvo type="num" val="3"/>
        <color rgb="FF92D050"/>
        <color rgb="FFFFFF00"/>
        <color rgb="FFFF0000"/>
      </colorScale>
    </cfRule>
  </conditionalFormatting>
  <conditionalFormatting sqref="L34:M35 H34:J35 H37:J38 L37:M38">
    <cfRule type="colorScale" priority="45">
      <colorScale>
        <cfvo type="num" val="1"/>
        <cfvo type="num" val="2"/>
        <cfvo type="num" val="3"/>
        <color rgb="FF92D050"/>
        <color rgb="FFFFFF00"/>
        <color rgb="FFFF0000"/>
      </colorScale>
    </cfRule>
  </conditionalFormatting>
  <conditionalFormatting sqref="N15:N16 N20 J20 J15:J16">
    <cfRule type="colorScale" priority="83">
      <colorScale>
        <cfvo type="formula" val="1.2"/>
        <cfvo type="formula" val="3.4"/>
        <cfvo type="formula" val="6.9"/>
        <color rgb="FF92D050"/>
        <color rgb="FFFFFF00"/>
        <color rgb="FFFF0000"/>
      </colorScale>
    </cfRule>
  </conditionalFormatting>
  <conditionalFormatting sqref="N21 J21">
    <cfRule type="colorScale" priority="17">
      <colorScale>
        <cfvo type="num" val="1.2"/>
        <cfvo type="num" val="3.4"/>
        <cfvo type="num" val="6.9"/>
        <color rgb="FF92D050"/>
        <color rgb="FFFFEB84"/>
        <color rgb="FFFF0000"/>
      </colorScale>
    </cfRule>
  </conditionalFormatting>
  <conditionalFormatting sqref="N21">
    <cfRule type="colorScale" priority="20">
      <colorScale>
        <cfvo type="formula" val="&quot;&lt;3&quot;"/>
        <cfvo type="formula" val="&quot;je mezi 4-6&quot;"/>
        <cfvo type="formula" val="&quot;&gt;6&quot;"/>
        <color rgb="FF92D050"/>
        <color rgb="FFFFFF00"/>
        <color rgb="FFFF0000"/>
      </colorScale>
    </cfRule>
    <cfRule type="colorScale" priority="18">
      <colorScale>
        <cfvo type="formula" val="1.2"/>
        <cfvo type="formula" val="3.4"/>
        <cfvo type="formula" val="6.9"/>
        <color rgb="FF92D050"/>
        <color rgb="FFFFFF00"/>
        <color rgb="FFFF0000"/>
      </colorScale>
    </cfRule>
    <cfRule type="cellIs" dxfId="0" priority="19" operator="between">
      <formula>1</formula>
      <formula>2</formula>
    </cfRule>
  </conditionalFormatting>
  <conditionalFormatting sqref="N24 J24">
    <cfRule type="colorScale" priority="73">
      <colorScale>
        <cfvo type="num" val="1.2"/>
        <cfvo type="num" val="3.4"/>
        <cfvo type="num" val="6.9"/>
        <color rgb="FF92D050"/>
        <color rgb="FFFFEB84"/>
        <color rgb="FFFF0000"/>
      </colorScale>
    </cfRule>
    <cfRule type="colorScale" priority="74">
      <colorScale>
        <cfvo type="formula" val="1.2"/>
        <cfvo type="formula" val="3.4"/>
        <cfvo type="formula" val="6.9"/>
        <color rgb="FF92D050"/>
        <color rgb="FFFFFF00"/>
        <color rgb="FFFF0000"/>
      </colorScale>
    </cfRule>
    <cfRule type="colorScale" priority="76">
      <colorScale>
        <cfvo type="formula" val="&quot;&lt;3&quot;"/>
        <cfvo type="formula" val="&quot;je mezi 4-6&quot;"/>
        <cfvo type="formula" val="&quot;&gt;6&quot;"/>
        <color rgb="FF92D050"/>
        <color rgb="FFFFFF00"/>
        <color rgb="FFFF0000"/>
      </colorScale>
    </cfRule>
  </conditionalFormatting>
  <conditionalFormatting sqref="N28:N29 J28:J29">
    <cfRule type="colorScale" priority="65">
      <colorScale>
        <cfvo type="num" val="1.2"/>
        <cfvo type="num" val="3.4"/>
        <cfvo type="num" val="6.9"/>
        <color rgb="FF92D050"/>
        <color rgb="FFFFEB84"/>
        <color rgb="FFFF0000"/>
      </colorScale>
    </cfRule>
  </conditionalFormatting>
  <conditionalFormatting sqref="N44 J44">
    <cfRule type="colorScale" priority="36">
      <colorScale>
        <cfvo type="formula" val="&quot;&lt;3&quot;"/>
        <cfvo type="formula" val="&quot;je mezi 4-6&quot;"/>
        <cfvo type="formula" val="&quot;&gt;6&quot;"/>
        <color rgb="FF92D050"/>
        <color rgb="FFFFFF00"/>
        <color rgb="FFFF0000"/>
      </colorScale>
    </cfRule>
    <cfRule type="colorScale" priority="33">
      <colorScale>
        <cfvo type="num" val="1.2"/>
        <cfvo type="num" val="3.4"/>
        <cfvo type="num" val="6.9"/>
        <color rgb="FF92D050"/>
        <color rgb="FFFFEB84"/>
        <color rgb="FFFF0000"/>
      </colorScale>
    </cfRule>
    <cfRule type="colorScale" priority="34">
      <colorScale>
        <cfvo type="formula" val="1.2"/>
        <cfvo type="formula" val="3.4"/>
        <cfvo type="formula" val="6.9"/>
        <color rgb="FF92D050"/>
        <color rgb="FFFFFF00"/>
        <color rgb="FFFF0000"/>
      </colorScale>
    </cfRule>
  </conditionalFormatting>
  <conditionalFormatting sqref="Q32:T32 T29 J22:J23 N22:N23 N46:N52 J46:J52 N25:N26 J25:J26 Q29 N39:N43 J39:J43 J33 N33 N8:N20 J8:J20">
    <cfRule type="colorScale" priority="82">
      <colorScale>
        <cfvo type="num" val="1.2"/>
        <cfvo type="num" val="3.4"/>
        <cfvo type="num" val="6.9"/>
        <color rgb="FF92D050"/>
        <color rgb="FFFFEB84"/>
        <color rgb="FFFF0000"/>
      </colorScale>
    </cfRule>
  </conditionalFormatting>
  <pageMargins left="0.7" right="0.7" top="0.78740157499999996" bottom="0.78740157499999996"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N111"/>
  <sheetViews>
    <sheetView showGridLines="0" workbookViewId="0">
      <pane ySplit="5" topLeftCell="A75" activePane="bottomLeft" state="frozen"/>
      <selection activeCell="E45" sqref="E45"/>
      <selection pane="bottomLeft" activeCell="E45" sqref="E45"/>
    </sheetView>
  </sheetViews>
  <sheetFormatPr defaultColWidth="0" defaultRowHeight="15" x14ac:dyDescent="0.25"/>
  <cols>
    <col min="1" max="1" width="20.85546875" style="70" customWidth="1"/>
    <col min="2" max="2" width="5.85546875" style="70" customWidth="1"/>
    <col min="3" max="3" width="17.5703125" style="70" customWidth="1"/>
    <col min="4" max="4" width="40.85546875" style="70" bestFit="1" customWidth="1"/>
    <col min="5" max="5" width="144.140625" style="70" bestFit="1" customWidth="1"/>
    <col min="6" max="6" width="29" style="70" bestFit="1" customWidth="1"/>
    <col min="7" max="7" width="13.85546875" style="70" customWidth="1"/>
    <col min="8" max="8" width="24" style="70" customWidth="1"/>
    <col min="9" max="9" width="19.85546875" style="70" bestFit="1" customWidth="1"/>
    <col min="10" max="10" width="29.140625" style="70" bestFit="1" customWidth="1"/>
    <col min="11" max="11" width="27.140625" style="70" customWidth="1"/>
    <col min="12" max="12" width="9.42578125" style="70" customWidth="1"/>
    <col min="13" max="13" width="48" style="70" bestFit="1" customWidth="1"/>
    <col min="14" max="14" width="4.140625" style="70" customWidth="1"/>
    <col min="15" max="16384" width="9.140625" style="70" hidden="1"/>
  </cols>
  <sheetData>
    <row r="1" spans="1:13" ht="17.25" customHeight="1" x14ac:dyDescent="0.3">
      <c r="A1" s="69" t="s">
        <v>604</v>
      </c>
    </row>
    <row r="2" spans="1:13" ht="26.25" x14ac:dyDescent="0.4">
      <c r="A2" s="71" t="s">
        <v>605</v>
      </c>
    </row>
    <row r="3" spans="1:13" ht="15.75" thickBot="1" x14ac:dyDescent="0.3"/>
    <row r="4" spans="1:13" ht="16.5" thickBot="1" x14ac:dyDescent="0.3">
      <c r="A4" s="163"/>
      <c r="B4" s="163"/>
      <c r="C4" s="163"/>
      <c r="D4" s="164" t="s">
        <v>606</v>
      </c>
      <c r="E4" s="165"/>
      <c r="F4" s="165"/>
      <c r="G4" s="165"/>
      <c r="H4" s="165"/>
      <c r="I4" s="165"/>
      <c r="J4" s="165"/>
      <c r="K4" s="165"/>
      <c r="L4" s="165"/>
      <c r="M4" s="166"/>
    </row>
    <row r="5" spans="1:13" s="76" customFormat="1" ht="71.45" customHeight="1" thickBot="1" x14ac:dyDescent="0.3">
      <c r="A5" s="72" t="s">
        <v>607</v>
      </c>
      <c r="B5" s="73" t="s">
        <v>608</v>
      </c>
      <c r="C5" s="74" t="s">
        <v>609</v>
      </c>
      <c r="D5" s="74" t="s">
        <v>610</v>
      </c>
      <c r="E5" s="74" t="s">
        <v>611</v>
      </c>
      <c r="F5" s="74" t="s">
        <v>612</v>
      </c>
      <c r="G5" s="74" t="s">
        <v>613</v>
      </c>
      <c r="H5" s="74" t="s">
        <v>614</v>
      </c>
      <c r="I5" s="74" t="s">
        <v>615</v>
      </c>
      <c r="J5" s="74" t="s">
        <v>616</v>
      </c>
      <c r="K5" s="74" t="s">
        <v>617</v>
      </c>
      <c r="L5" s="74" t="s">
        <v>618</v>
      </c>
      <c r="M5" s="75" t="s">
        <v>619</v>
      </c>
    </row>
    <row r="6" spans="1:13" x14ac:dyDescent="0.25">
      <c r="A6" s="77" t="s">
        <v>620</v>
      </c>
      <c r="B6" s="78">
        <v>1</v>
      </c>
      <c r="C6" s="79" t="str">
        <f>"K"&amp;"-0"&amp;B6&amp;"-"&amp;LEFT(F6,3)&amp;"-"&amp;LEFT(G6,1)&amp;"-"&amp;LEFT(H6,1)</f>
        <v>K-01-K01-p-m</v>
      </c>
      <c r="D6" s="80" t="s">
        <v>621</v>
      </c>
      <c r="E6" s="81" t="s">
        <v>622</v>
      </c>
      <c r="F6" s="82" t="s">
        <v>623</v>
      </c>
      <c r="G6" s="83" t="s">
        <v>624</v>
      </c>
      <c r="H6" s="84" t="s">
        <v>625</v>
      </c>
      <c r="I6" s="80" t="s">
        <v>626</v>
      </c>
      <c r="J6" s="80" t="s">
        <v>626</v>
      </c>
      <c r="K6" s="82" t="s">
        <v>627</v>
      </c>
      <c r="L6" s="82" t="s">
        <v>628</v>
      </c>
      <c r="M6" s="85" t="s">
        <v>629</v>
      </c>
    </row>
    <row r="7" spans="1:13" x14ac:dyDescent="0.25">
      <c r="A7" s="86"/>
      <c r="B7" s="80">
        <v>2</v>
      </c>
      <c r="C7" s="87" t="str">
        <f t="shared" ref="C7:C14" si="0">"K"&amp;"-0"&amp;B7&amp;"-"&amp;LEFT(F7,3)&amp;LEFT(G7,1)&amp;LEFT(H7,1)</f>
        <v>K-02-K05um</v>
      </c>
      <c r="D7" s="88" t="s">
        <v>630</v>
      </c>
      <c r="E7" s="89" t="s">
        <v>631</v>
      </c>
      <c r="F7" s="82" t="s">
        <v>632</v>
      </c>
      <c r="G7" s="83" t="s">
        <v>633</v>
      </c>
      <c r="H7" s="90" t="s">
        <v>625</v>
      </c>
      <c r="I7" s="80" t="s">
        <v>626</v>
      </c>
      <c r="J7" s="80" t="s">
        <v>626</v>
      </c>
      <c r="K7" s="90" t="s">
        <v>627</v>
      </c>
      <c r="L7" s="90" t="s">
        <v>634</v>
      </c>
      <c r="M7" s="85" t="s">
        <v>635</v>
      </c>
    </row>
    <row r="8" spans="1:13" x14ac:dyDescent="0.25">
      <c r="A8" s="86"/>
      <c r="B8" s="81">
        <v>3</v>
      </c>
      <c r="C8" s="87" t="str">
        <f t="shared" si="0"/>
        <v>K-03-K05um</v>
      </c>
      <c r="D8" s="80" t="s">
        <v>636</v>
      </c>
      <c r="E8" s="81" t="s">
        <v>637</v>
      </c>
      <c r="F8" s="82" t="s">
        <v>632</v>
      </c>
      <c r="G8" s="83" t="s">
        <v>633</v>
      </c>
      <c r="H8" s="90" t="s">
        <v>625</v>
      </c>
      <c r="I8" s="80" t="s">
        <v>626</v>
      </c>
      <c r="J8" s="80" t="s">
        <v>626</v>
      </c>
      <c r="K8" s="90" t="s">
        <v>627</v>
      </c>
      <c r="L8" s="90" t="s">
        <v>628</v>
      </c>
      <c r="M8" s="85" t="s">
        <v>629</v>
      </c>
    </row>
    <row r="9" spans="1:13" x14ac:dyDescent="0.25">
      <c r="A9" s="86"/>
      <c r="B9" s="80">
        <v>4</v>
      </c>
      <c r="C9" s="87" t="str">
        <f t="shared" si="0"/>
        <v>K-04-K04dm</v>
      </c>
      <c r="D9" s="80" t="s">
        <v>638</v>
      </c>
      <c r="E9" s="81" t="s">
        <v>639</v>
      </c>
      <c r="F9" s="82" t="s">
        <v>640</v>
      </c>
      <c r="G9" s="83" t="s">
        <v>641</v>
      </c>
      <c r="H9" s="90" t="s">
        <v>625</v>
      </c>
      <c r="I9" s="80" t="s">
        <v>626</v>
      </c>
      <c r="J9" s="80" t="s">
        <v>626</v>
      </c>
      <c r="K9" s="90" t="s">
        <v>642</v>
      </c>
      <c r="L9" s="90" t="s">
        <v>628</v>
      </c>
      <c r="M9" s="91" t="s">
        <v>643</v>
      </c>
    </row>
    <row r="10" spans="1:13" x14ac:dyDescent="0.25">
      <c r="A10" s="86"/>
      <c r="B10" s="81">
        <v>5</v>
      </c>
      <c r="C10" s="87" t="str">
        <f t="shared" si="0"/>
        <v>K-05-K04um</v>
      </c>
      <c r="D10" s="80" t="s">
        <v>644</v>
      </c>
      <c r="E10" s="81" t="s">
        <v>645</v>
      </c>
      <c r="F10" s="82" t="s">
        <v>640</v>
      </c>
      <c r="G10" s="83" t="s">
        <v>633</v>
      </c>
      <c r="H10" s="90" t="s">
        <v>625</v>
      </c>
      <c r="I10" s="80" t="s">
        <v>17</v>
      </c>
      <c r="J10" s="80" t="s">
        <v>646</v>
      </c>
      <c r="K10" s="90" t="s">
        <v>642</v>
      </c>
      <c r="L10" s="90" t="s">
        <v>628</v>
      </c>
      <c r="M10" s="91" t="s">
        <v>647</v>
      </c>
    </row>
    <row r="11" spans="1:13" x14ac:dyDescent="0.25">
      <c r="A11" s="86"/>
      <c r="B11" s="80">
        <v>6</v>
      </c>
      <c r="C11" s="87" t="str">
        <f t="shared" si="0"/>
        <v>K-06-K07dm</v>
      </c>
      <c r="D11" s="80" t="s">
        <v>648</v>
      </c>
      <c r="E11" s="81" t="s">
        <v>649</v>
      </c>
      <c r="F11" s="82" t="s">
        <v>650</v>
      </c>
      <c r="G11" s="83" t="s">
        <v>641</v>
      </c>
      <c r="H11" s="90" t="s">
        <v>625</v>
      </c>
      <c r="I11" s="80" t="s">
        <v>626</v>
      </c>
      <c r="J11" s="80" t="s">
        <v>626</v>
      </c>
      <c r="K11" s="90" t="s">
        <v>642</v>
      </c>
      <c r="L11" s="90" t="s">
        <v>628</v>
      </c>
      <c r="M11" s="91" t="s">
        <v>651</v>
      </c>
    </row>
    <row r="12" spans="1:13" x14ac:dyDescent="0.25">
      <c r="A12" s="86"/>
      <c r="B12" s="81">
        <v>7</v>
      </c>
      <c r="C12" s="87" t="str">
        <f t="shared" si="0"/>
        <v>K-07-K08dm</v>
      </c>
      <c r="D12" s="80" t="s">
        <v>652</v>
      </c>
      <c r="E12" s="81" t="s">
        <v>653</v>
      </c>
      <c r="F12" s="82" t="s">
        <v>654</v>
      </c>
      <c r="G12" s="83" t="s">
        <v>641</v>
      </c>
      <c r="H12" s="90" t="s">
        <v>625</v>
      </c>
      <c r="I12" s="80" t="s">
        <v>626</v>
      </c>
      <c r="J12" s="80" t="s">
        <v>626</v>
      </c>
      <c r="K12" s="90" t="s">
        <v>627</v>
      </c>
      <c r="L12" s="90" t="s">
        <v>628</v>
      </c>
      <c r="M12" s="91" t="s">
        <v>655</v>
      </c>
    </row>
    <row r="13" spans="1:13" x14ac:dyDescent="0.25">
      <c r="A13" s="86"/>
      <c r="B13" s="80">
        <v>8</v>
      </c>
      <c r="C13" s="87" t="str">
        <f t="shared" si="0"/>
        <v>K-08-K11pm</v>
      </c>
      <c r="D13" s="80" t="s">
        <v>656</v>
      </c>
      <c r="E13" s="81" t="s">
        <v>657</v>
      </c>
      <c r="F13" s="82" t="s">
        <v>658</v>
      </c>
      <c r="G13" s="83" t="s">
        <v>624</v>
      </c>
      <c r="H13" s="90" t="s">
        <v>625</v>
      </c>
      <c r="I13" s="80" t="s">
        <v>626</v>
      </c>
      <c r="J13" s="80" t="s">
        <v>626</v>
      </c>
      <c r="K13" s="90" t="s">
        <v>627</v>
      </c>
      <c r="L13" s="90" t="s">
        <v>628</v>
      </c>
      <c r="M13" s="91" t="s">
        <v>629</v>
      </c>
    </row>
    <row r="14" spans="1:13" x14ac:dyDescent="0.25">
      <c r="A14" s="86"/>
      <c r="B14" s="81">
        <v>9</v>
      </c>
      <c r="C14" s="87" t="str">
        <f t="shared" si="0"/>
        <v>K-09-K05dm</v>
      </c>
      <c r="D14" s="80" t="s">
        <v>659</v>
      </c>
      <c r="E14" s="81" t="s">
        <v>660</v>
      </c>
      <c r="F14" s="82" t="s">
        <v>632</v>
      </c>
      <c r="G14" s="83" t="s">
        <v>641</v>
      </c>
      <c r="H14" s="90" t="s">
        <v>625</v>
      </c>
      <c r="I14" s="80" t="s">
        <v>426</v>
      </c>
      <c r="J14" s="80" t="s">
        <v>661</v>
      </c>
      <c r="K14" s="90" t="s">
        <v>662</v>
      </c>
      <c r="L14" s="90" t="s">
        <v>628</v>
      </c>
      <c r="M14" s="91" t="s">
        <v>651</v>
      </c>
    </row>
    <row r="15" spans="1:13" x14ac:dyDescent="0.25">
      <c r="A15" s="86"/>
      <c r="B15" s="80">
        <v>10</v>
      </c>
      <c r="C15" s="87" t="str">
        <f>"K"&amp;"-"&amp;B15&amp;"-"&amp;LEFT(F15,3)&amp;LEFT(G15,1)&amp;LEFT(H15,1)</f>
        <v>K-10-K12pm</v>
      </c>
      <c r="D15" s="80" t="s">
        <v>663</v>
      </c>
      <c r="E15" s="89" t="s">
        <v>664</v>
      </c>
      <c r="F15" s="82" t="s">
        <v>665</v>
      </c>
      <c r="G15" s="83" t="s">
        <v>624</v>
      </c>
      <c r="H15" s="90" t="s">
        <v>625</v>
      </c>
      <c r="I15" s="80" t="s">
        <v>426</v>
      </c>
      <c r="J15" s="80" t="s">
        <v>661</v>
      </c>
      <c r="K15" s="90" t="s">
        <v>666</v>
      </c>
      <c r="L15" s="90" t="s">
        <v>628</v>
      </c>
      <c r="M15" s="91" t="s">
        <v>667</v>
      </c>
    </row>
    <row r="16" spans="1:13" x14ac:dyDescent="0.25">
      <c r="A16" s="86"/>
      <c r="B16" s="81">
        <v>11</v>
      </c>
      <c r="C16" s="87" t="str">
        <f t="shared" ref="C16:C79" si="1">"K"&amp;"-"&amp;B16&amp;"-"&amp;LEFT(F16,3)&amp;LEFT(G16,1)&amp;LEFT(H16,1)</f>
        <v>K-11-K13pm</v>
      </c>
      <c r="D16" s="88" t="s">
        <v>668</v>
      </c>
      <c r="E16" s="81" t="s">
        <v>669</v>
      </c>
      <c r="F16" s="82" t="s">
        <v>670</v>
      </c>
      <c r="G16" s="83" t="s">
        <v>624</v>
      </c>
      <c r="H16" s="90" t="s">
        <v>625</v>
      </c>
      <c r="I16" s="80" t="s">
        <v>426</v>
      </c>
      <c r="J16" s="80" t="s">
        <v>661</v>
      </c>
      <c r="K16" s="90" t="s">
        <v>671</v>
      </c>
      <c r="L16" s="90" t="s">
        <v>628</v>
      </c>
      <c r="M16" s="91" t="s">
        <v>672</v>
      </c>
    </row>
    <row r="17" spans="1:13" x14ac:dyDescent="0.25">
      <c r="A17" s="86"/>
      <c r="B17" s="80">
        <v>12</v>
      </c>
      <c r="C17" s="87" t="str">
        <f t="shared" si="1"/>
        <v>K-12-K07da</v>
      </c>
      <c r="D17" s="80" t="s">
        <v>673</v>
      </c>
      <c r="E17" s="81" t="s">
        <v>674</v>
      </c>
      <c r="F17" s="82" t="s">
        <v>650</v>
      </c>
      <c r="G17" s="83" t="s">
        <v>641</v>
      </c>
      <c r="H17" s="90" t="s">
        <v>675</v>
      </c>
      <c r="I17" s="80" t="s">
        <v>426</v>
      </c>
      <c r="J17" s="80" t="s">
        <v>661</v>
      </c>
      <c r="K17" s="90" t="s">
        <v>662</v>
      </c>
      <c r="L17" s="90" t="s">
        <v>628</v>
      </c>
      <c r="M17" s="91" t="s">
        <v>676</v>
      </c>
    </row>
    <row r="18" spans="1:13" x14ac:dyDescent="0.25">
      <c r="A18" s="86"/>
      <c r="B18" s="81">
        <v>13</v>
      </c>
      <c r="C18" s="87" t="str">
        <f t="shared" si="1"/>
        <v>K-13-K11pm</v>
      </c>
      <c r="D18" s="80" t="s">
        <v>677</v>
      </c>
      <c r="E18" s="81" t="s">
        <v>678</v>
      </c>
      <c r="F18" s="82" t="s">
        <v>658</v>
      </c>
      <c r="G18" s="83" t="s">
        <v>624</v>
      </c>
      <c r="H18" s="90" t="s">
        <v>625</v>
      </c>
      <c r="I18" s="80" t="s">
        <v>426</v>
      </c>
      <c r="J18" s="80" t="s">
        <v>661</v>
      </c>
      <c r="K18" s="90" t="s">
        <v>679</v>
      </c>
      <c r="L18" s="90" t="s">
        <v>628</v>
      </c>
      <c r="M18" s="91" t="s">
        <v>680</v>
      </c>
    </row>
    <row r="19" spans="1:13" x14ac:dyDescent="0.25">
      <c r="A19" s="86"/>
      <c r="B19" s="80">
        <v>14</v>
      </c>
      <c r="C19" s="87" t="str">
        <f t="shared" si="1"/>
        <v>K-14-K07dm</v>
      </c>
      <c r="D19" s="80" t="s">
        <v>681</v>
      </c>
      <c r="E19" s="81" t="s">
        <v>682</v>
      </c>
      <c r="F19" s="82" t="s">
        <v>650</v>
      </c>
      <c r="G19" s="83" t="s">
        <v>641</v>
      </c>
      <c r="H19" s="90" t="s">
        <v>625</v>
      </c>
      <c r="I19" s="80" t="s">
        <v>426</v>
      </c>
      <c r="J19" s="80" t="s">
        <v>661</v>
      </c>
      <c r="K19" s="90" t="s">
        <v>627</v>
      </c>
      <c r="L19" s="90" t="s">
        <v>628</v>
      </c>
      <c r="M19" s="91" t="s">
        <v>683</v>
      </c>
    </row>
    <row r="20" spans="1:13" x14ac:dyDescent="0.25">
      <c r="A20" s="86"/>
      <c r="B20" s="81">
        <v>15</v>
      </c>
      <c r="C20" s="87" t="str">
        <f t="shared" si="1"/>
        <v>K-15-K03pm</v>
      </c>
      <c r="D20" s="80" t="s">
        <v>684</v>
      </c>
      <c r="E20" s="81" t="s">
        <v>685</v>
      </c>
      <c r="F20" s="82" t="s">
        <v>686</v>
      </c>
      <c r="G20" s="83" t="s">
        <v>624</v>
      </c>
      <c r="H20" s="90" t="s">
        <v>625</v>
      </c>
      <c r="I20" s="80" t="s">
        <v>687</v>
      </c>
      <c r="J20" s="80" t="s">
        <v>106</v>
      </c>
      <c r="K20" s="90" t="s">
        <v>679</v>
      </c>
      <c r="L20" s="90" t="s">
        <v>628</v>
      </c>
      <c r="M20" s="91" t="s">
        <v>688</v>
      </c>
    </row>
    <row r="21" spans="1:13" x14ac:dyDescent="0.25">
      <c r="A21" s="86"/>
      <c r="B21" s="80">
        <v>16</v>
      </c>
      <c r="C21" s="87" t="str">
        <f t="shared" si="1"/>
        <v>K-16-K03pm</v>
      </c>
      <c r="D21" s="80" t="s">
        <v>684</v>
      </c>
      <c r="E21" s="81" t="s">
        <v>689</v>
      </c>
      <c r="F21" s="82" t="s">
        <v>686</v>
      </c>
      <c r="G21" s="83" t="s">
        <v>624</v>
      </c>
      <c r="H21" s="90" t="s">
        <v>625</v>
      </c>
      <c r="I21" s="80" t="s">
        <v>687</v>
      </c>
      <c r="J21" s="80" t="s">
        <v>208</v>
      </c>
      <c r="K21" s="90" t="s">
        <v>679</v>
      </c>
      <c r="L21" s="90" t="s">
        <v>628</v>
      </c>
      <c r="M21" s="91" t="s">
        <v>688</v>
      </c>
    </row>
    <row r="22" spans="1:13" x14ac:dyDescent="0.25">
      <c r="A22" s="86"/>
      <c r="B22" s="81">
        <v>17</v>
      </c>
      <c r="C22" s="87" t="str">
        <f t="shared" si="1"/>
        <v>K-17-K14pm</v>
      </c>
      <c r="D22" s="80" t="s">
        <v>690</v>
      </c>
      <c r="E22" s="81" t="s">
        <v>691</v>
      </c>
      <c r="F22" s="82" t="s">
        <v>692</v>
      </c>
      <c r="G22" s="83" t="s">
        <v>624</v>
      </c>
      <c r="H22" s="90" t="s">
        <v>625</v>
      </c>
      <c r="I22" s="80" t="s">
        <v>426</v>
      </c>
      <c r="J22" s="80" t="s">
        <v>661</v>
      </c>
      <c r="K22" s="90" t="s">
        <v>679</v>
      </c>
      <c r="L22" s="90" t="s">
        <v>628</v>
      </c>
      <c r="M22" s="91" t="s">
        <v>693</v>
      </c>
    </row>
    <row r="23" spans="1:13" x14ac:dyDescent="0.25">
      <c r="A23" s="77" t="s">
        <v>620</v>
      </c>
      <c r="B23" s="80">
        <v>18</v>
      </c>
      <c r="C23" s="87" t="str">
        <f t="shared" si="1"/>
        <v>K-18-K05pm</v>
      </c>
      <c r="D23" s="80" t="s">
        <v>694</v>
      </c>
      <c r="E23" s="81" t="s">
        <v>695</v>
      </c>
      <c r="F23" s="82" t="s">
        <v>632</v>
      </c>
      <c r="G23" s="83" t="s">
        <v>624</v>
      </c>
      <c r="H23" s="90" t="s">
        <v>625</v>
      </c>
      <c r="I23" s="80" t="s">
        <v>696</v>
      </c>
      <c r="J23" s="80" t="s">
        <v>696</v>
      </c>
      <c r="K23" s="90" t="s">
        <v>662</v>
      </c>
      <c r="L23" s="90" t="s">
        <v>628</v>
      </c>
      <c r="M23" s="91" t="s">
        <v>651</v>
      </c>
    </row>
    <row r="24" spans="1:13" x14ac:dyDescent="0.25">
      <c r="A24" s="77" t="s">
        <v>620</v>
      </c>
      <c r="B24" s="81">
        <v>19</v>
      </c>
      <c r="C24" s="87" t="str">
        <f t="shared" si="1"/>
        <v>K-19-K04pm</v>
      </c>
      <c r="D24" s="80" t="s">
        <v>697</v>
      </c>
      <c r="E24" s="81" t="s">
        <v>698</v>
      </c>
      <c r="F24" s="82" t="s">
        <v>640</v>
      </c>
      <c r="G24" s="83" t="s">
        <v>624</v>
      </c>
      <c r="H24" s="90" t="s">
        <v>625</v>
      </c>
      <c r="I24" s="80" t="s">
        <v>696</v>
      </c>
      <c r="J24" s="80" t="s">
        <v>696</v>
      </c>
      <c r="K24" s="90" t="s">
        <v>662</v>
      </c>
      <c r="L24" s="90" t="s">
        <v>628</v>
      </c>
      <c r="M24" s="91" t="s">
        <v>651</v>
      </c>
    </row>
    <row r="25" spans="1:13" x14ac:dyDescent="0.25">
      <c r="A25" s="86"/>
      <c r="B25" s="80">
        <v>20</v>
      </c>
      <c r="C25" s="87" t="str">
        <f t="shared" si="1"/>
        <v>K-20-K05pm</v>
      </c>
      <c r="D25" s="80" t="s">
        <v>699</v>
      </c>
      <c r="E25" s="81" t="s">
        <v>700</v>
      </c>
      <c r="F25" s="82" t="s">
        <v>632</v>
      </c>
      <c r="G25" s="83" t="s">
        <v>624</v>
      </c>
      <c r="H25" s="90" t="s">
        <v>625</v>
      </c>
      <c r="I25" s="80" t="s">
        <v>701</v>
      </c>
      <c r="J25" s="80" t="s">
        <v>702</v>
      </c>
      <c r="K25" s="90" t="s">
        <v>642</v>
      </c>
      <c r="L25" s="90" t="s">
        <v>628</v>
      </c>
      <c r="M25" s="91" t="s">
        <v>693</v>
      </c>
    </row>
    <row r="26" spans="1:13" x14ac:dyDescent="0.25">
      <c r="A26" s="86"/>
      <c r="B26" s="81">
        <v>21</v>
      </c>
      <c r="C26" s="87" t="str">
        <f t="shared" si="1"/>
        <v>K-21-K05pm</v>
      </c>
      <c r="D26" s="80" t="s">
        <v>703</v>
      </c>
      <c r="E26" s="81" t="s">
        <v>704</v>
      </c>
      <c r="F26" s="82" t="s">
        <v>632</v>
      </c>
      <c r="G26" s="83" t="s">
        <v>624</v>
      </c>
      <c r="H26" s="90" t="s">
        <v>625</v>
      </c>
      <c r="I26" s="80" t="s">
        <v>701</v>
      </c>
      <c r="J26" s="80" t="s">
        <v>702</v>
      </c>
      <c r="K26" s="90" t="s">
        <v>642</v>
      </c>
      <c r="L26" s="90" t="s">
        <v>628</v>
      </c>
      <c r="M26" s="91" t="s">
        <v>693</v>
      </c>
    </row>
    <row r="27" spans="1:13" x14ac:dyDescent="0.25">
      <c r="A27" s="86"/>
      <c r="B27" s="80">
        <v>22</v>
      </c>
      <c r="C27" s="87" t="str">
        <f t="shared" si="1"/>
        <v>K-22-K05pm</v>
      </c>
      <c r="D27" s="80" t="s">
        <v>705</v>
      </c>
      <c r="E27" s="81" t="s">
        <v>706</v>
      </c>
      <c r="F27" s="82" t="s">
        <v>632</v>
      </c>
      <c r="G27" s="83" t="s">
        <v>624</v>
      </c>
      <c r="H27" s="90" t="s">
        <v>625</v>
      </c>
      <c r="I27" s="80" t="s">
        <v>120</v>
      </c>
      <c r="J27" s="80" t="s">
        <v>120</v>
      </c>
      <c r="K27" s="90" t="s">
        <v>627</v>
      </c>
      <c r="L27" s="90" t="s">
        <v>628</v>
      </c>
      <c r="M27" s="91" t="s">
        <v>693</v>
      </c>
    </row>
    <row r="28" spans="1:13" x14ac:dyDescent="0.25">
      <c r="A28" s="86"/>
      <c r="B28" s="81">
        <v>23</v>
      </c>
      <c r="C28" s="87" t="str">
        <f t="shared" si="1"/>
        <v>K-23-K03dm</v>
      </c>
      <c r="D28" s="80" t="s">
        <v>707</v>
      </c>
      <c r="E28" s="81" t="s">
        <v>708</v>
      </c>
      <c r="F28" s="82" t="s">
        <v>686</v>
      </c>
      <c r="G28" s="83" t="s">
        <v>641</v>
      </c>
      <c r="H28" s="90" t="s">
        <v>625</v>
      </c>
      <c r="I28" s="80" t="s">
        <v>120</v>
      </c>
      <c r="J28" s="80" t="s">
        <v>120</v>
      </c>
      <c r="K28" s="90" t="s">
        <v>627</v>
      </c>
      <c r="L28" s="90" t="s">
        <v>628</v>
      </c>
      <c r="M28" s="91" t="s">
        <v>693</v>
      </c>
    </row>
    <row r="29" spans="1:13" x14ac:dyDescent="0.25">
      <c r="A29" s="86"/>
      <c r="B29" s="80">
        <v>24</v>
      </c>
      <c r="C29" s="87" t="str">
        <f t="shared" si="1"/>
        <v>K-24-K05pm</v>
      </c>
      <c r="D29" s="80" t="s">
        <v>709</v>
      </c>
      <c r="E29" s="81" t="s">
        <v>710</v>
      </c>
      <c r="F29" s="82" t="s">
        <v>632</v>
      </c>
      <c r="G29" s="83" t="s">
        <v>624</v>
      </c>
      <c r="H29" s="90" t="s">
        <v>625</v>
      </c>
      <c r="I29" s="80" t="s">
        <v>120</v>
      </c>
      <c r="J29" s="80" t="s">
        <v>120</v>
      </c>
      <c r="K29" s="90" t="s">
        <v>679</v>
      </c>
      <c r="L29" s="90" t="s">
        <v>628</v>
      </c>
      <c r="M29" s="91" t="s">
        <v>711</v>
      </c>
    </row>
    <row r="30" spans="1:13" x14ac:dyDescent="0.25">
      <c r="A30" s="86" t="s">
        <v>712</v>
      </c>
      <c r="B30" s="81">
        <v>25</v>
      </c>
      <c r="C30" s="87" t="str">
        <f t="shared" si="1"/>
        <v>K-25-K05pm</v>
      </c>
      <c r="D30" s="80" t="s">
        <v>713</v>
      </c>
      <c r="E30" s="81" t="s">
        <v>714</v>
      </c>
      <c r="F30" s="82" t="s">
        <v>632</v>
      </c>
      <c r="G30" s="83" t="s">
        <v>624</v>
      </c>
      <c r="H30" s="90" t="s">
        <v>625</v>
      </c>
      <c r="I30" s="80" t="s">
        <v>715</v>
      </c>
      <c r="J30" s="80" t="s">
        <v>715</v>
      </c>
      <c r="K30" s="90" t="s">
        <v>666</v>
      </c>
      <c r="L30" s="90" t="s">
        <v>634</v>
      </c>
      <c r="M30" s="91" t="s">
        <v>716</v>
      </c>
    </row>
    <row r="31" spans="1:13" x14ac:dyDescent="0.25">
      <c r="A31" s="86" t="s">
        <v>712</v>
      </c>
      <c r="B31" s="80">
        <v>26</v>
      </c>
      <c r="C31" s="87" t="str">
        <f t="shared" si="1"/>
        <v>K-26-K05um</v>
      </c>
      <c r="D31" s="80" t="s">
        <v>717</v>
      </c>
      <c r="E31" s="81" t="s">
        <v>718</v>
      </c>
      <c r="F31" s="82" t="s">
        <v>632</v>
      </c>
      <c r="G31" s="83" t="s">
        <v>633</v>
      </c>
      <c r="H31" s="90" t="s">
        <v>625</v>
      </c>
      <c r="I31" s="80" t="s">
        <v>701</v>
      </c>
      <c r="J31" s="80" t="s">
        <v>701</v>
      </c>
      <c r="K31" s="90" t="s">
        <v>666</v>
      </c>
      <c r="L31" s="90" t="s">
        <v>628</v>
      </c>
      <c r="M31" s="91" t="s">
        <v>719</v>
      </c>
    </row>
    <row r="32" spans="1:13" x14ac:dyDescent="0.25">
      <c r="A32" s="86" t="s">
        <v>720</v>
      </c>
      <c r="B32" s="81">
        <v>27</v>
      </c>
      <c r="C32" s="87" t="str">
        <f t="shared" si="1"/>
        <v>K-27-K05dm</v>
      </c>
      <c r="D32" s="80" t="s">
        <v>721</v>
      </c>
      <c r="E32" s="81" t="s">
        <v>722</v>
      </c>
      <c r="F32" s="82" t="s">
        <v>632</v>
      </c>
      <c r="G32" s="83" t="s">
        <v>641</v>
      </c>
      <c r="H32" s="90" t="s">
        <v>625</v>
      </c>
      <c r="I32" s="80" t="s">
        <v>701</v>
      </c>
      <c r="J32" s="80" t="s">
        <v>701</v>
      </c>
      <c r="K32" s="90" t="s">
        <v>666</v>
      </c>
      <c r="L32" s="90" t="s">
        <v>628</v>
      </c>
      <c r="M32" s="91" t="s">
        <v>723</v>
      </c>
    </row>
    <row r="33" spans="1:13" x14ac:dyDescent="0.25">
      <c r="A33" s="86"/>
      <c r="B33" s="80">
        <v>28</v>
      </c>
      <c r="C33" s="87" t="str">
        <f t="shared" si="1"/>
        <v>K-28-K03pm</v>
      </c>
      <c r="D33" s="80" t="s">
        <v>724</v>
      </c>
      <c r="E33" s="81" t="s">
        <v>725</v>
      </c>
      <c r="F33" s="82" t="s">
        <v>686</v>
      </c>
      <c r="G33" s="83" t="s">
        <v>624</v>
      </c>
      <c r="H33" s="90" t="s">
        <v>625</v>
      </c>
      <c r="I33" s="80" t="s">
        <v>726</v>
      </c>
      <c r="J33" s="80" t="s">
        <v>726</v>
      </c>
      <c r="K33" s="90" t="s">
        <v>627</v>
      </c>
      <c r="L33" s="90" t="s">
        <v>628</v>
      </c>
      <c r="M33" s="91" t="s">
        <v>727</v>
      </c>
    </row>
    <row r="34" spans="1:13" x14ac:dyDescent="0.25">
      <c r="A34" s="86"/>
      <c r="B34" s="81">
        <v>29</v>
      </c>
      <c r="C34" s="87" t="str">
        <f t="shared" si="1"/>
        <v>K-29-K06pm</v>
      </c>
      <c r="D34" s="80" t="s">
        <v>728</v>
      </c>
      <c r="E34" s="81" t="s">
        <v>729</v>
      </c>
      <c r="F34" s="82" t="s">
        <v>730</v>
      </c>
      <c r="G34" s="83" t="s">
        <v>624</v>
      </c>
      <c r="H34" s="90" t="s">
        <v>625</v>
      </c>
      <c r="I34" s="80" t="s">
        <v>731</v>
      </c>
      <c r="J34" s="80" t="s">
        <v>731</v>
      </c>
      <c r="K34" s="90" t="s">
        <v>627</v>
      </c>
      <c r="L34" s="90" t="s">
        <v>628</v>
      </c>
      <c r="M34" s="91" t="s">
        <v>732</v>
      </c>
    </row>
    <row r="35" spans="1:13" x14ac:dyDescent="0.25">
      <c r="A35" s="86"/>
      <c r="B35" s="80">
        <v>30</v>
      </c>
      <c r="C35" s="87" t="str">
        <f t="shared" si="1"/>
        <v>K-30-K06pm</v>
      </c>
      <c r="D35" s="80" t="s">
        <v>728</v>
      </c>
      <c r="E35" s="81" t="s">
        <v>733</v>
      </c>
      <c r="F35" s="82" t="s">
        <v>730</v>
      </c>
      <c r="G35" s="83" t="s">
        <v>624</v>
      </c>
      <c r="H35" s="90" t="s">
        <v>625</v>
      </c>
      <c r="I35" s="80" t="s">
        <v>687</v>
      </c>
      <c r="J35" s="80" t="s">
        <v>687</v>
      </c>
      <c r="K35" s="90" t="s">
        <v>627</v>
      </c>
      <c r="L35" s="90" t="s">
        <v>628</v>
      </c>
      <c r="M35" s="91" t="s">
        <v>731</v>
      </c>
    </row>
    <row r="36" spans="1:13" x14ac:dyDescent="0.25">
      <c r="A36" s="86"/>
      <c r="B36" s="81">
        <v>31</v>
      </c>
      <c r="C36" s="87" t="str">
        <f t="shared" si="1"/>
        <v>K-31-K05pm</v>
      </c>
      <c r="D36" s="80" t="s">
        <v>734</v>
      </c>
      <c r="E36" s="81" t="s">
        <v>735</v>
      </c>
      <c r="F36" s="82" t="s">
        <v>632</v>
      </c>
      <c r="G36" s="83" t="s">
        <v>624</v>
      </c>
      <c r="H36" s="90" t="s">
        <v>625</v>
      </c>
      <c r="I36" s="80" t="s">
        <v>726</v>
      </c>
      <c r="J36" s="80" t="s">
        <v>726</v>
      </c>
      <c r="K36" s="90" t="s">
        <v>627</v>
      </c>
      <c r="L36" s="90" t="s">
        <v>628</v>
      </c>
      <c r="M36" s="91" t="s">
        <v>723</v>
      </c>
    </row>
    <row r="37" spans="1:13" x14ac:dyDescent="0.25">
      <c r="A37" s="86"/>
      <c r="B37" s="80">
        <v>32</v>
      </c>
      <c r="C37" s="87" t="str">
        <f t="shared" si="1"/>
        <v>K-32-K04dm</v>
      </c>
      <c r="D37" s="80" t="s">
        <v>736</v>
      </c>
      <c r="E37" s="81" t="s">
        <v>737</v>
      </c>
      <c r="F37" s="82" t="s">
        <v>640</v>
      </c>
      <c r="G37" s="83" t="s">
        <v>641</v>
      </c>
      <c r="H37" s="90" t="s">
        <v>625</v>
      </c>
      <c r="I37" s="80" t="s">
        <v>726</v>
      </c>
      <c r="J37" s="80" t="s">
        <v>726</v>
      </c>
      <c r="K37" s="90" t="s">
        <v>666</v>
      </c>
      <c r="L37" s="90" t="s">
        <v>628</v>
      </c>
      <c r="M37" s="91" t="s">
        <v>738</v>
      </c>
    </row>
    <row r="38" spans="1:13" x14ac:dyDescent="0.25">
      <c r="A38" s="86"/>
      <c r="B38" s="81">
        <v>33</v>
      </c>
      <c r="C38" s="87" t="str">
        <f t="shared" si="1"/>
        <v>K-33-K04dm</v>
      </c>
      <c r="D38" s="80" t="s">
        <v>638</v>
      </c>
      <c r="E38" s="81" t="s">
        <v>739</v>
      </c>
      <c r="F38" s="82" t="s">
        <v>640</v>
      </c>
      <c r="G38" s="83" t="s">
        <v>641</v>
      </c>
      <c r="H38" s="90" t="s">
        <v>625</v>
      </c>
      <c r="I38" s="80" t="s">
        <v>687</v>
      </c>
      <c r="J38" s="80" t="s">
        <v>687</v>
      </c>
      <c r="K38" s="90" t="s">
        <v>666</v>
      </c>
      <c r="L38" s="90" t="s">
        <v>628</v>
      </c>
      <c r="M38" s="91" t="s">
        <v>740</v>
      </c>
    </row>
    <row r="39" spans="1:13" x14ac:dyDescent="0.25">
      <c r="A39" s="86"/>
      <c r="B39" s="80">
        <v>34</v>
      </c>
      <c r="C39" s="87" t="str">
        <f t="shared" si="1"/>
        <v>K-34-K06pm</v>
      </c>
      <c r="D39" s="80" t="s">
        <v>741</v>
      </c>
      <c r="E39" s="81" t="s">
        <v>742</v>
      </c>
      <c r="F39" s="82" t="s">
        <v>730</v>
      </c>
      <c r="G39" s="83" t="s">
        <v>624</v>
      </c>
      <c r="H39" s="90" t="s">
        <v>625</v>
      </c>
      <c r="I39" s="80" t="s">
        <v>687</v>
      </c>
      <c r="J39" s="80" t="s">
        <v>687</v>
      </c>
      <c r="K39" s="90" t="s">
        <v>666</v>
      </c>
      <c r="L39" s="90" t="s">
        <v>628</v>
      </c>
      <c r="M39" s="91" t="s">
        <v>743</v>
      </c>
    </row>
    <row r="40" spans="1:13" x14ac:dyDescent="0.25">
      <c r="A40" s="86"/>
      <c r="B40" s="81">
        <v>35</v>
      </c>
      <c r="C40" s="87" t="str">
        <f t="shared" si="1"/>
        <v>K-35-K06pm</v>
      </c>
      <c r="D40" s="80" t="s">
        <v>744</v>
      </c>
      <c r="E40" s="81" t="s">
        <v>745</v>
      </c>
      <c r="F40" s="82" t="s">
        <v>730</v>
      </c>
      <c r="G40" s="83" t="s">
        <v>624</v>
      </c>
      <c r="H40" s="90" t="s">
        <v>625</v>
      </c>
      <c r="I40" s="80" t="s">
        <v>106</v>
      </c>
      <c r="J40" s="80" t="s">
        <v>687</v>
      </c>
      <c r="K40" s="90" t="s">
        <v>666</v>
      </c>
      <c r="L40" s="90" t="s">
        <v>628</v>
      </c>
      <c r="M40" s="91" t="s">
        <v>746</v>
      </c>
    </row>
    <row r="41" spans="1:13" x14ac:dyDescent="0.25">
      <c r="A41" s="86"/>
      <c r="B41" s="80">
        <v>36</v>
      </c>
      <c r="C41" s="87" t="str">
        <f t="shared" si="1"/>
        <v>K-36-K05pm</v>
      </c>
      <c r="D41" s="80" t="s">
        <v>747</v>
      </c>
      <c r="E41" s="81" t="s">
        <v>748</v>
      </c>
      <c r="F41" s="82" t="s">
        <v>632</v>
      </c>
      <c r="G41" s="83" t="s">
        <v>624</v>
      </c>
      <c r="H41" s="90" t="s">
        <v>625</v>
      </c>
      <c r="I41" s="80" t="s">
        <v>726</v>
      </c>
      <c r="J41" s="80" t="s">
        <v>726</v>
      </c>
      <c r="K41" s="90" t="s">
        <v>627</v>
      </c>
      <c r="L41" s="90" t="s">
        <v>628</v>
      </c>
      <c r="M41" s="91" t="s">
        <v>749</v>
      </c>
    </row>
    <row r="42" spans="1:13" x14ac:dyDescent="0.25">
      <c r="A42" s="86"/>
      <c r="B42" s="81">
        <v>37</v>
      </c>
      <c r="C42" s="87" t="str">
        <f t="shared" si="1"/>
        <v>K-37-K05pm</v>
      </c>
      <c r="D42" s="80" t="s">
        <v>750</v>
      </c>
      <c r="E42" s="81" t="s">
        <v>751</v>
      </c>
      <c r="F42" s="82" t="s">
        <v>632</v>
      </c>
      <c r="G42" s="83" t="s">
        <v>624</v>
      </c>
      <c r="H42" s="90" t="s">
        <v>625</v>
      </c>
      <c r="I42" s="80" t="s">
        <v>726</v>
      </c>
      <c r="J42" s="80" t="s">
        <v>646</v>
      </c>
      <c r="K42" s="90" t="s">
        <v>671</v>
      </c>
      <c r="L42" s="90" t="s">
        <v>628</v>
      </c>
      <c r="M42" s="91" t="s">
        <v>106</v>
      </c>
    </row>
    <row r="43" spans="1:13" x14ac:dyDescent="0.25">
      <c r="A43" s="86"/>
      <c r="B43" s="80">
        <v>38</v>
      </c>
      <c r="C43" s="87" t="str">
        <f t="shared" si="1"/>
        <v>K-38-K04dm</v>
      </c>
      <c r="D43" s="80" t="s">
        <v>752</v>
      </c>
      <c r="E43" s="81" t="s">
        <v>753</v>
      </c>
      <c r="F43" s="82" t="s">
        <v>640</v>
      </c>
      <c r="G43" s="83" t="s">
        <v>641</v>
      </c>
      <c r="H43" s="90" t="s">
        <v>625</v>
      </c>
      <c r="I43" s="80" t="s">
        <v>754</v>
      </c>
      <c r="J43" s="80" t="s">
        <v>754</v>
      </c>
      <c r="K43" s="90" t="s">
        <v>666</v>
      </c>
      <c r="L43" s="90" t="s">
        <v>628</v>
      </c>
      <c r="M43" s="91" t="s">
        <v>755</v>
      </c>
    </row>
    <row r="44" spans="1:13" x14ac:dyDescent="0.25">
      <c r="A44" s="86"/>
      <c r="B44" s="81">
        <v>39</v>
      </c>
      <c r="C44" s="87" t="str">
        <f t="shared" si="1"/>
        <v>K-39-K06pm</v>
      </c>
      <c r="D44" s="80" t="s">
        <v>744</v>
      </c>
      <c r="E44" s="81" t="s">
        <v>756</v>
      </c>
      <c r="F44" s="82" t="s">
        <v>730</v>
      </c>
      <c r="G44" s="83" t="s">
        <v>624</v>
      </c>
      <c r="H44" s="90" t="s">
        <v>625</v>
      </c>
      <c r="I44" s="80" t="s">
        <v>757</v>
      </c>
      <c r="J44" s="80" t="s">
        <v>754</v>
      </c>
      <c r="K44" s="90" t="s">
        <v>666</v>
      </c>
      <c r="L44" s="90" t="s">
        <v>628</v>
      </c>
      <c r="M44" s="91" t="s">
        <v>746</v>
      </c>
    </row>
    <row r="45" spans="1:13" x14ac:dyDescent="0.25">
      <c r="A45" s="86"/>
      <c r="B45" s="80">
        <v>40</v>
      </c>
      <c r="C45" s="87" t="str">
        <f t="shared" si="1"/>
        <v>K-40-K05pm</v>
      </c>
      <c r="D45" s="80" t="s">
        <v>758</v>
      </c>
      <c r="E45" s="81" t="s">
        <v>759</v>
      </c>
      <c r="F45" s="82" t="s">
        <v>632</v>
      </c>
      <c r="G45" s="83" t="s">
        <v>624</v>
      </c>
      <c r="H45" s="90" t="s">
        <v>625</v>
      </c>
      <c r="I45" s="80" t="s">
        <v>760</v>
      </c>
      <c r="J45" s="80" t="s">
        <v>661</v>
      </c>
      <c r="K45" s="90" t="s">
        <v>627</v>
      </c>
      <c r="L45" s="90" t="s">
        <v>628</v>
      </c>
      <c r="M45" s="91" t="s">
        <v>761</v>
      </c>
    </row>
    <row r="46" spans="1:13" x14ac:dyDescent="0.25">
      <c r="A46" s="86"/>
      <c r="B46" s="81">
        <v>41</v>
      </c>
      <c r="C46" s="87" t="str">
        <f t="shared" si="1"/>
        <v>K-41-K05pm</v>
      </c>
      <c r="D46" s="80" t="s">
        <v>762</v>
      </c>
      <c r="E46" s="81" t="s">
        <v>748</v>
      </c>
      <c r="F46" s="82" t="s">
        <v>632</v>
      </c>
      <c r="G46" s="83" t="s">
        <v>624</v>
      </c>
      <c r="H46" s="90" t="s">
        <v>625</v>
      </c>
      <c r="I46" s="80" t="s">
        <v>726</v>
      </c>
      <c r="J46" s="80" t="s">
        <v>726</v>
      </c>
      <c r="K46" s="90" t="s">
        <v>627</v>
      </c>
      <c r="L46" s="90" t="s">
        <v>628</v>
      </c>
      <c r="M46" s="91" t="s">
        <v>749</v>
      </c>
    </row>
    <row r="47" spans="1:13" x14ac:dyDescent="0.25">
      <c r="A47" s="86"/>
      <c r="B47" s="80">
        <v>42</v>
      </c>
      <c r="C47" s="87" t="str">
        <f t="shared" si="1"/>
        <v>K-42-K05dm</v>
      </c>
      <c r="D47" s="80" t="s">
        <v>763</v>
      </c>
      <c r="E47" s="81" t="s">
        <v>751</v>
      </c>
      <c r="F47" s="82" t="s">
        <v>632</v>
      </c>
      <c r="G47" s="83" t="s">
        <v>641</v>
      </c>
      <c r="H47" s="90" t="s">
        <v>625</v>
      </c>
      <c r="I47" s="80" t="s">
        <v>760</v>
      </c>
      <c r="J47" s="80" t="s">
        <v>760</v>
      </c>
      <c r="K47" s="90" t="s">
        <v>627</v>
      </c>
      <c r="L47" s="90" t="s">
        <v>628</v>
      </c>
      <c r="M47" s="91" t="s">
        <v>761</v>
      </c>
    </row>
    <row r="48" spans="1:13" x14ac:dyDescent="0.25">
      <c r="A48" s="86"/>
      <c r="B48" s="81">
        <v>43</v>
      </c>
      <c r="C48" s="87" t="str">
        <f t="shared" si="1"/>
        <v>K-43-K05pm</v>
      </c>
      <c r="D48" s="80" t="s">
        <v>764</v>
      </c>
      <c r="E48" s="81" t="s">
        <v>765</v>
      </c>
      <c r="F48" s="82" t="s">
        <v>632</v>
      </c>
      <c r="G48" s="83" t="s">
        <v>624</v>
      </c>
      <c r="H48" s="90" t="s">
        <v>625</v>
      </c>
      <c r="I48" s="80" t="s">
        <v>760</v>
      </c>
      <c r="J48" s="80" t="s">
        <v>760</v>
      </c>
      <c r="K48" s="90" t="s">
        <v>666</v>
      </c>
      <c r="L48" s="90" t="s">
        <v>628</v>
      </c>
      <c r="M48" s="91" t="s">
        <v>761</v>
      </c>
    </row>
    <row r="49" spans="1:13" x14ac:dyDescent="0.25">
      <c r="A49" s="86"/>
      <c r="B49" s="80">
        <v>44</v>
      </c>
      <c r="C49" s="87" t="str">
        <f t="shared" si="1"/>
        <v>K-44-K05dm</v>
      </c>
      <c r="D49" s="80" t="s">
        <v>766</v>
      </c>
      <c r="E49" s="81" t="s">
        <v>767</v>
      </c>
      <c r="F49" s="82" t="s">
        <v>632</v>
      </c>
      <c r="G49" s="83" t="s">
        <v>641</v>
      </c>
      <c r="H49" s="90" t="s">
        <v>625</v>
      </c>
      <c r="I49" s="80" t="s">
        <v>760</v>
      </c>
      <c r="J49" s="80" t="s">
        <v>760</v>
      </c>
      <c r="K49" s="90" t="s">
        <v>627</v>
      </c>
      <c r="L49" s="90" t="s">
        <v>628</v>
      </c>
      <c r="M49" s="91" t="s">
        <v>761</v>
      </c>
    </row>
    <row r="50" spans="1:13" x14ac:dyDescent="0.25">
      <c r="A50" s="86"/>
      <c r="B50" s="81">
        <v>45</v>
      </c>
      <c r="C50" s="87" t="str">
        <f t="shared" si="1"/>
        <v>K-45-K04dm</v>
      </c>
      <c r="D50" s="80" t="s">
        <v>768</v>
      </c>
      <c r="E50" s="81" t="s">
        <v>769</v>
      </c>
      <c r="F50" s="82" t="s">
        <v>640</v>
      </c>
      <c r="G50" s="83" t="s">
        <v>641</v>
      </c>
      <c r="H50" s="90" t="s">
        <v>625</v>
      </c>
      <c r="I50" s="80" t="s">
        <v>646</v>
      </c>
      <c r="J50" s="80" t="s">
        <v>646</v>
      </c>
      <c r="K50" s="90" t="s">
        <v>666</v>
      </c>
      <c r="L50" s="90" t="s">
        <v>628</v>
      </c>
      <c r="M50" s="91" t="s">
        <v>17</v>
      </c>
    </row>
    <row r="51" spans="1:13" x14ac:dyDescent="0.25">
      <c r="A51" s="86"/>
      <c r="B51" s="80">
        <v>46</v>
      </c>
      <c r="C51" s="87" t="str">
        <f t="shared" si="1"/>
        <v>K-46-K02pm</v>
      </c>
      <c r="D51" s="80" t="s">
        <v>770</v>
      </c>
      <c r="E51" s="81" t="s">
        <v>771</v>
      </c>
      <c r="F51" s="82" t="s">
        <v>772</v>
      </c>
      <c r="G51" s="83" t="s">
        <v>624</v>
      </c>
      <c r="H51" s="90" t="s">
        <v>625</v>
      </c>
      <c r="I51" s="80" t="s">
        <v>106</v>
      </c>
      <c r="J51" s="80" t="s">
        <v>773</v>
      </c>
      <c r="K51" s="90" t="s">
        <v>627</v>
      </c>
      <c r="L51" s="90" t="s">
        <v>628</v>
      </c>
      <c r="M51" s="91" t="s">
        <v>774</v>
      </c>
    </row>
    <row r="52" spans="1:13" x14ac:dyDescent="0.25">
      <c r="A52" s="86"/>
      <c r="B52" s="81">
        <v>47</v>
      </c>
      <c r="C52" s="87" t="str">
        <f t="shared" si="1"/>
        <v>K-47-K02pm</v>
      </c>
      <c r="D52" s="80" t="s">
        <v>775</v>
      </c>
      <c r="E52" s="81" t="s">
        <v>776</v>
      </c>
      <c r="F52" s="82" t="s">
        <v>772</v>
      </c>
      <c r="G52" s="83" t="s">
        <v>624</v>
      </c>
      <c r="H52" s="90" t="s">
        <v>625</v>
      </c>
      <c r="I52" s="80" t="s">
        <v>106</v>
      </c>
      <c r="J52" s="80" t="s">
        <v>773</v>
      </c>
      <c r="K52" s="90" t="s">
        <v>627</v>
      </c>
      <c r="L52" s="90" t="s">
        <v>628</v>
      </c>
      <c r="M52" s="91" t="s">
        <v>774</v>
      </c>
    </row>
    <row r="53" spans="1:13" x14ac:dyDescent="0.25">
      <c r="A53" s="86"/>
      <c r="B53" s="80">
        <v>48</v>
      </c>
      <c r="C53" s="87" t="str">
        <f t="shared" si="1"/>
        <v>K-48-K02pm</v>
      </c>
      <c r="D53" s="80" t="s">
        <v>777</v>
      </c>
      <c r="E53" s="81" t="s">
        <v>778</v>
      </c>
      <c r="F53" s="82" t="s">
        <v>772</v>
      </c>
      <c r="G53" s="83" t="s">
        <v>624</v>
      </c>
      <c r="H53" s="90" t="s">
        <v>625</v>
      </c>
      <c r="I53" s="80" t="s">
        <v>106</v>
      </c>
      <c r="J53" s="80" t="s">
        <v>773</v>
      </c>
      <c r="K53" s="90" t="s">
        <v>627</v>
      </c>
      <c r="L53" s="90" t="s">
        <v>628</v>
      </c>
      <c r="M53" s="91" t="s">
        <v>774</v>
      </c>
    </row>
    <row r="54" spans="1:13" x14ac:dyDescent="0.25">
      <c r="A54" s="86"/>
      <c r="B54" s="81">
        <v>49</v>
      </c>
      <c r="C54" s="87" t="str">
        <f t="shared" si="1"/>
        <v>K-49-K02pm</v>
      </c>
      <c r="D54" s="80" t="s">
        <v>779</v>
      </c>
      <c r="E54" s="81" t="s">
        <v>780</v>
      </c>
      <c r="F54" s="82" t="s">
        <v>772</v>
      </c>
      <c r="G54" s="83" t="s">
        <v>624</v>
      </c>
      <c r="H54" s="90" t="s">
        <v>625</v>
      </c>
      <c r="I54" s="80" t="s">
        <v>106</v>
      </c>
      <c r="J54" s="80" t="s">
        <v>773</v>
      </c>
      <c r="K54" s="90" t="s">
        <v>627</v>
      </c>
      <c r="L54" s="90" t="s">
        <v>628</v>
      </c>
      <c r="M54" s="91" t="s">
        <v>781</v>
      </c>
    </row>
    <row r="55" spans="1:13" x14ac:dyDescent="0.25">
      <c r="A55" s="86"/>
      <c r="B55" s="80">
        <v>50</v>
      </c>
      <c r="C55" s="87" t="str">
        <f t="shared" si="1"/>
        <v>K-50-K02pm</v>
      </c>
      <c r="D55" s="80" t="s">
        <v>782</v>
      </c>
      <c r="E55" s="81" t="s">
        <v>783</v>
      </c>
      <c r="F55" s="82" t="s">
        <v>772</v>
      </c>
      <c r="G55" s="83" t="s">
        <v>624</v>
      </c>
      <c r="H55" s="90" t="s">
        <v>625</v>
      </c>
      <c r="I55" s="80" t="s">
        <v>106</v>
      </c>
      <c r="J55" s="80" t="s">
        <v>773</v>
      </c>
      <c r="K55" s="90" t="s">
        <v>627</v>
      </c>
      <c r="L55" s="90" t="s">
        <v>628</v>
      </c>
      <c r="M55" s="91" t="s">
        <v>723</v>
      </c>
    </row>
    <row r="56" spans="1:13" x14ac:dyDescent="0.25">
      <c r="A56" s="86"/>
      <c r="B56" s="81">
        <v>51</v>
      </c>
      <c r="C56" s="87" t="str">
        <f t="shared" si="1"/>
        <v>K-51-K04pm</v>
      </c>
      <c r="D56" s="80" t="s">
        <v>784</v>
      </c>
      <c r="E56" s="81" t="s">
        <v>785</v>
      </c>
      <c r="F56" s="82" t="s">
        <v>640</v>
      </c>
      <c r="G56" s="83" t="s">
        <v>624</v>
      </c>
      <c r="H56" s="90" t="s">
        <v>625</v>
      </c>
      <c r="I56" s="80" t="s">
        <v>106</v>
      </c>
      <c r="J56" s="80" t="s">
        <v>773</v>
      </c>
      <c r="K56" s="90" t="s">
        <v>627</v>
      </c>
      <c r="L56" s="90" t="s">
        <v>628</v>
      </c>
      <c r="M56" s="91" t="s">
        <v>774</v>
      </c>
    </row>
    <row r="57" spans="1:13" x14ac:dyDescent="0.25">
      <c r="A57" s="86"/>
      <c r="B57" s="80">
        <v>52</v>
      </c>
      <c r="C57" s="87" t="str">
        <f t="shared" si="1"/>
        <v>K-52-K04pm</v>
      </c>
      <c r="D57" s="80" t="s">
        <v>786</v>
      </c>
      <c r="E57" s="81" t="s">
        <v>787</v>
      </c>
      <c r="F57" s="82" t="s">
        <v>640</v>
      </c>
      <c r="G57" s="83" t="s">
        <v>624</v>
      </c>
      <c r="H57" s="90" t="s">
        <v>625</v>
      </c>
      <c r="I57" s="80" t="s">
        <v>106</v>
      </c>
      <c r="J57" s="80" t="s">
        <v>773</v>
      </c>
      <c r="K57" s="90" t="s">
        <v>627</v>
      </c>
      <c r="L57" s="90" t="s">
        <v>628</v>
      </c>
      <c r="M57" s="91" t="s">
        <v>774</v>
      </c>
    </row>
    <row r="58" spans="1:13" x14ac:dyDescent="0.25">
      <c r="A58" s="86"/>
      <c r="B58" s="81">
        <v>53</v>
      </c>
      <c r="C58" s="87" t="str">
        <f t="shared" si="1"/>
        <v>K-53-K02pm</v>
      </c>
      <c r="D58" s="80" t="s">
        <v>788</v>
      </c>
      <c r="E58" s="81" t="s">
        <v>789</v>
      </c>
      <c r="F58" s="82" t="s">
        <v>772</v>
      </c>
      <c r="G58" s="83" t="s">
        <v>624</v>
      </c>
      <c r="H58" s="90" t="s">
        <v>625</v>
      </c>
      <c r="I58" s="80" t="s">
        <v>106</v>
      </c>
      <c r="J58" s="80" t="s">
        <v>773</v>
      </c>
      <c r="K58" s="90" t="s">
        <v>627</v>
      </c>
      <c r="L58" s="90" t="s">
        <v>628</v>
      </c>
      <c r="M58" s="91" t="s">
        <v>790</v>
      </c>
    </row>
    <row r="59" spans="1:13" x14ac:dyDescent="0.25">
      <c r="A59" s="86"/>
      <c r="B59" s="80">
        <v>54</v>
      </c>
      <c r="C59" s="87" t="str">
        <f t="shared" si="1"/>
        <v>K-54-K03pm</v>
      </c>
      <c r="D59" s="80" t="s">
        <v>791</v>
      </c>
      <c r="E59" s="81" t="s">
        <v>792</v>
      </c>
      <c r="F59" s="82" t="s">
        <v>686</v>
      </c>
      <c r="G59" s="83" t="s">
        <v>624</v>
      </c>
      <c r="H59" s="90" t="s">
        <v>625</v>
      </c>
      <c r="I59" s="80" t="s">
        <v>793</v>
      </c>
      <c r="J59" s="80" t="s">
        <v>793</v>
      </c>
      <c r="K59" s="90" t="s">
        <v>666</v>
      </c>
      <c r="L59" s="90" t="s">
        <v>628</v>
      </c>
      <c r="M59" s="91" t="s">
        <v>794</v>
      </c>
    </row>
    <row r="60" spans="1:13" x14ac:dyDescent="0.25">
      <c r="A60" s="86"/>
      <c r="B60" s="81">
        <v>55</v>
      </c>
      <c r="C60" s="87" t="str">
        <f t="shared" si="1"/>
        <v>K-55-K05pa</v>
      </c>
      <c r="D60" s="80" t="s">
        <v>795</v>
      </c>
      <c r="E60" s="81" t="s">
        <v>796</v>
      </c>
      <c r="F60" s="82" t="s">
        <v>632</v>
      </c>
      <c r="G60" s="83" t="s">
        <v>624</v>
      </c>
      <c r="H60" s="90" t="s">
        <v>675</v>
      </c>
      <c r="I60" s="80" t="s">
        <v>793</v>
      </c>
      <c r="J60" s="80" t="s">
        <v>793</v>
      </c>
      <c r="K60" s="90" t="s">
        <v>666</v>
      </c>
      <c r="L60" s="90" t="s">
        <v>628</v>
      </c>
      <c r="M60" s="91" t="s">
        <v>797</v>
      </c>
    </row>
    <row r="61" spans="1:13" x14ac:dyDescent="0.25">
      <c r="A61" s="86"/>
      <c r="B61" s="80">
        <v>56</v>
      </c>
      <c r="C61" s="87" t="str">
        <f t="shared" si="1"/>
        <v>K-56-K03pm</v>
      </c>
      <c r="D61" s="80" t="s">
        <v>798</v>
      </c>
      <c r="E61" s="81" t="s">
        <v>799</v>
      </c>
      <c r="F61" s="82" t="s">
        <v>686</v>
      </c>
      <c r="G61" s="83" t="s">
        <v>624</v>
      </c>
      <c r="H61" s="90" t="s">
        <v>625</v>
      </c>
      <c r="I61" s="80" t="s">
        <v>793</v>
      </c>
      <c r="J61" s="80" t="s">
        <v>793</v>
      </c>
      <c r="K61" s="90" t="s">
        <v>666</v>
      </c>
      <c r="L61" s="90" t="s">
        <v>628</v>
      </c>
      <c r="M61" s="91" t="s">
        <v>794</v>
      </c>
    </row>
    <row r="62" spans="1:13" x14ac:dyDescent="0.25">
      <c r="A62" s="86"/>
      <c r="B62" s="81">
        <v>57</v>
      </c>
      <c r="C62" s="87" t="str">
        <f t="shared" si="1"/>
        <v>K-57-K05pm</v>
      </c>
      <c r="D62" s="80" t="s">
        <v>736</v>
      </c>
      <c r="E62" s="81" t="s">
        <v>800</v>
      </c>
      <c r="F62" s="82" t="s">
        <v>632</v>
      </c>
      <c r="G62" s="83" t="s">
        <v>624</v>
      </c>
      <c r="H62" s="90" t="s">
        <v>625</v>
      </c>
      <c r="I62" s="80" t="s">
        <v>723</v>
      </c>
      <c r="J62" s="80" t="s">
        <v>723</v>
      </c>
      <c r="K62" s="90" t="s">
        <v>627</v>
      </c>
      <c r="L62" s="90" t="s">
        <v>634</v>
      </c>
      <c r="M62" s="91" t="s">
        <v>801</v>
      </c>
    </row>
    <row r="63" spans="1:13" x14ac:dyDescent="0.25">
      <c r="A63" s="86"/>
      <c r="B63" s="80">
        <v>58</v>
      </c>
      <c r="C63" s="87" t="str">
        <f t="shared" si="1"/>
        <v>K-58-K05dm</v>
      </c>
      <c r="D63" s="80" t="s">
        <v>802</v>
      </c>
      <c r="E63" s="81" t="s">
        <v>803</v>
      </c>
      <c r="F63" s="82" t="s">
        <v>632</v>
      </c>
      <c r="G63" s="83" t="s">
        <v>641</v>
      </c>
      <c r="H63" s="90" t="s">
        <v>625</v>
      </c>
      <c r="I63" s="80" t="s">
        <v>723</v>
      </c>
      <c r="J63" s="80" t="s">
        <v>723</v>
      </c>
      <c r="K63" s="90" t="s">
        <v>627</v>
      </c>
      <c r="L63" s="90" t="s">
        <v>628</v>
      </c>
      <c r="M63" s="91" t="s">
        <v>801</v>
      </c>
    </row>
    <row r="64" spans="1:13" x14ac:dyDescent="0.25">
      <c r="A64" s="86"/>
      <c r="B64" s="81">
        <v>59</v>
      </c>
      <c r="C64" s="87" t="str">
        <f t="shared" si="1"/>
        <v>K-59-K05pm</v>
      </c>
      <c r="D64" s="80" t="s">
        <v>804</v>
      </c>
      <c r="E64" s="81" t="s">
        <v>805</v>
      </c>
      <c r="F64" s="82" t="s">
        <v>632</v>
      </c>
      <c r="G64" s="83" t="s">
        <v>624</v>
      </c>
      <c r="H64" s="90" t="s">
        <v>625</v>
      </c>
      <c r="I64" s="80" t="s">
        <v>723</v>
      </c>
      <c r="J64" s="80" t="s">
        <v>723</v>
      </c>
      <c r="K64" s="90" t="s">
        <v>627</v>
      </c>
      <c r="L64" s="90" t="s">
        <v>628</v>
      </c>
      <c r="M64" s="91" t="s">
        <v>801</v>
      </c>
    </row>
    <row r="65" spans="1:13" x14ac:dyDescent="0.25">
      <c r="A65" s="86"/>
      <c r="B65" s="80">
        <v>60</v>
      </c>
      <c r="C65" s="87" t="str">
        <f t="shared" si="1"/>
        <v>K-60-K05pm</v>
      </c>
      <c r="D65" s="80" t="s">
        <v>806</v>
      </c>
      <c r="E65" s="81" t="s">
        <v>807</v>
      </c>
      <c r="F65" s="82" t="s">
        <v>632</v>
      </c>
      <c r="G65" s="83" t="s">
        <v>624</v>
      </c>
      <c r="H65" s="90" t="s">
        <v>625</v>
      </c>
      <c r="I65" s="80" t="s">
        <v>723</v>
      </c>
      <c r="J65" s="80" t="s">
        <v>723</v>
      </c>
      <c r="K65" s="90" t="s">
        <v>627</v>
      </c>
      <c r="L65" s="90" t="s">
        <v>628</v>
      </c>
      <c r="M65" s="91" t="s">
        <v>801</v>
      </c>
    </row>
    <row r="66" spans="1:13" x14ac:dyDescent="0.25">
      <c r="A66" s="86"/>
      <c r="B66" s="81">
        <v>61</v>
      </c>
      <c r="C66" s="87" t="str">
        <f t="shared" si="1"/>
        <v>K-61-K05dm</v>
      </c>
      <c r="D66" s="80" t="s">
        <v>808</v>
      </c>
      <c r="E66" s="81" t="s">
        <v>809</v>
      </c>
      <c r="F66" s="82" t="s">
        <v>632</v>
      </c>
      <c r="G66" s="83" t="s">
        <v>641</v>
      </c>
      <c r="H66" s="90" t="s">
        <v>625</v>
      </c>
      <c r="I66" s="80" t="s">
        <v>723</v>
      </c>
      <c r="J66" s="80" t="s">
        <v>723</v>
      </c>
      <c r="K66" s="90" t="s">
        <v>627</v>
      </c>
      <c r="L66" s="90" t="s">
        <v>628</v>
      </c>
      <c r="M66" s="91" t="s">
        <v>801</v>
      </c>
    </row>
    <row r="67" spans="1:13" x14ac:dyDescent="0.25">
      <c r="A67" s="86"/>
      <c r="B67" s="80">
        <v>62</v>
      </c>
      <c r="C67" s="87" t="str">
        <f t="shared" si="1"/>
        <v>K-62-K05pm</v>
      </c>
      <c r="D67" s="80" t="s">
        <v>810</v>
      </c>
      <c r="E67" s="81" t="s">
        <v>811</v>
      </c>
      <c r="F67" s="82" t="s">
        <v>632</v>
      </c>
      <c r="G67" s="83" t="s">
        <v>624</v>
      </c>
      <c r="H67" s="90" t="s">
        <v>625</v>
      </c>
      <c r="I67" s="80" t="s">
        <v>723</v>
      </c>
      <c r="J67" s="80" t="s">
        <v>723</v>
      </c>
      <c r="K67" s="90" t="s">
        <v>627</v>
      </c>
      <c r="L67" s="90" t="s">
        <v>628</v>
      </c>
      <c r="M67" s="91" t="s">
        <v>801</v>
      </c>
    </row>
    <row r="68" spans="1:13" x14ac:dyDescent="0.25">
      <c r="A68" s="86"/>
      <c r="B68" s="81">
        <v>63</v>
      </c>
      <c r="C68" s="87" t="str">
        <f t="shared" si="1"/>
        <v>K-63-K09pm</v>
      </c>
      <c r="D68" s="80" t="s">
        <v>812</v>
      </c>
      <c r="E68" s="81" t="s">
        <v>813</v>
      </c>
      <c r="F68" s="82" t="s">
        <v>814</v>
      </c>
      <c r="G68" s="83" t="s">
        <v>624</v>
      </c>
      <c r="H68" s="90" t="s">
        <v>625</v>
      </c>
      <c r="I68" s="80" t="s">
        <v>701</v>
      </c>
      <c r="J68" s="80" t="s">
        <v>701</v>
      </c>
      <c r="K68" s="90" t="s">
        <v>666</v>
      </c>
      <c r="L68" s="90" t="s">
        <v>628</v>
      </c>
      <c r="M68" s="91" t="s">
        <v>693</v>
      </c>
    </row>
    <row r="69" spans="1:13" x14ac:dyDescent="0.25">
      <c r="A69" s="86"/>
      <c r="B69" s="80">
        <v>64</v>
      </c>
      <c r="C69" s="87" t="str">
        <f t="shared" si="1"/>
        <v>K-64-K05pm</v>
      </c>
      <c r="D69" s="80" t="s">
        <v>815</v>
      </c>
      <c r="E69" s="81" t="s">
        <v>816</v>
      </c>
      <c r="F69" s="82" t="s">
        <v>632</v>
      </c>
      <c r="G69" s="83" t="s">
        <v>624</v>
      </c>
      <c r="H69" s="90" t="s">
        <v>625</v>
      </c>
      <c r="I69" s="80" t="s">
        <v>723</v>
      </c>
      <c r="J69" s="80" t="s">
        <v>723</v>
      </c>
      <c r="K69" s="90" t="s">
        <v>627</v>
      </c>
      <c r="L69" s="90" t="s">
        <v>628</v>
      </c>
      <c r="M69" s="91" t="s">
        <v>801</v>
      </c>
    </row>
    <row r="70" spans="1:13" x14ac:dyDescent="0.25">
      <c r="A70" s="86"/>
      <c r="B70" s="81">
        <v>65</v>
      </c>
      <c r="C70" s="87" t="str">
        <f t="shared" si="1"/>
        <v>K-65-K08dm</v>
      </c>
      <c r="D70" s="80" t="s">
        <v>652</v>
      </c>
      <c r="E70" s="81" t="s">
        <v>817</v>
      </c>
      <c r="F70" s="82" t="s">
        <v>654</v>
      </c>
      <c r="G70" s="83" t="s">
        <v>641</v>
      </c>
      <c r="H70" s="90" t="s">
        <v>625</v>
      </c>
      <c r="I70" s="80" t="s">
        <v>47</v>
      </c>
      <c r="J70" s="80" t="s">
        <v>818</v>
      </c>
      <c r="K70" s="90" t="s">
        <v>627</v>
      </c>
      <c r="L70" s="90" t="s">
        <v>628</v>
      </c>
      <c r="M70" s="91" t="s">
        <v>819</v>
      </c>
    </row>
    <row r="71" spans="1:13" x14ac:dyDescent="0.25">
      <c r="A71" s="86"/>
      <c r="B71" s="80">
        <v>66</v>
      </c>
      <c r="C71" s="87" t="str">
        <f t="shared" si="1"/>
        <v>K-66-K08dm</v>
      </c>
      <c r="D71" s="80" t="s">
        <v>820</v>
      </c>
      <c r="E71" s="81" t="s">
        <v>821</v>
      </c>
      <c r="F71" s="82" t="s">
        <v>654</v>
      </c>
      <c r="G71" s="83" t="s">
        <v>641</v>
      </c>
      <c r="H71" s="90" t="s">
        <v>625</v>
      </c>
      <c r="I71" s="80" t="s">
        <v>47</v>
      </c>
      <c r="J71" s="80" t="s">
        <v>818</v>
      </c>
      <c r="K71" s="90" t="s">
        <v>642</v>
      </c>
      <c r="L71" s="90" t="s">
        <v>628</v>
      </c>
      <c r="M71" s="91" t="s">
        <v>693</v>
      </c>
    </row>
    <row r="72" spans="1:13" x14ac:dyDescent="0.25">
      <c r="A72" s="86"/>
      <c r="B72" s="81">
        <v>67</v>
      </c>
      <c r="C72" s="87" t="str">
        <f t="shared" si="1"/>
        <v>K-67-K10pa</v>
      </c>
      <c r="D72" s="80" t="s">
        <v>822</v>
      </c>
      <c r="E72" s="81" t="s">
        <v>823</v>
      </c>
      <c r="F72" s="82" t="s">
        <v>824</v>
      </c>
      <c r="G72" s="83" t="s">
        <v>624</v>
      </c>
      <c r="H72" s="90" t="s">
        <v>675</v>
      </c>
      <c r="I72" s="80" t="s">
        <v>47</v>
      </c>
      <c r="J72" s="80" t="s">
        <v>305</v>
      </c>
      <c r="K72" s="90" t="s">
        <v>642</v>
      </c>
      <c r="L72" s="90" t="s">
        <v>634</v>
      </c>
      <c r="M72" s="91" t="s">
        <v>825</v>
      </c>
    </row>
    <row r="73" spans="1:13" x14ac:dyDescent="0.25">
      <c r="A73" s="86"/>
      <c r="B73" s="80">
        <v>68</v>
      </c>
      <c r="C73" s="87" t="str">
        <f t="shared" si="1"/>
        <v>K-68-K05pm</v>
      </c>
      <c r="D73" s="80" t="s">
        <v>826</v>
      </c>
      <c r="E73" s="81" t="s">
        <v>827</v>
      </c>
      <c r="F73" s="82" t="s">
        <v>632</v>
      </c>
      <c r="G73" s="83" t="s">
        <v>624</v>
      </c>
      <c r="H73" s="90" t="s">
        <v>625</v>
      </c>
      <c r="I73" s="80" t="s">
        <v>47</v>
      </c>
      <c r="J73" s="80" t="s">
        <v>828</v>
      </c>
      <c r="K73" s="90" t="s">
        <v>679</v>
      </c>
      <c r="L73" s="90" t="s">
        <v>628</v>
      </c>
      <c r="M73" s="91" t="s">
        <v>47</v>
      </c>
    </row>
    <row r="74" spans="1:13" x14ac:dyDescent="0.25">
      <c r="A74" s="86"/>
      <c r="B74" s="81">
        <v>69</v>
      </c>
      <c r="C74" s="87" t="str">
        <f t="shared" si="1"/>
        <v>K-69-K05dm</v>
      </c>
      <c r="D74" s="80" t="s">
        <v>829</v>
      </c>
      <c r="E74" s="81" t="s">
        <v>830</v>
      </c>
      <c r="F74" s="82" t="s">
        <v>632</v>
      </c>
      <c r="G74" s="83" t="s">
        <v>641</v>
      </c>
      <c r="H74" s="90" t="s">
        <v>625</v>
      </c>
      <c r="I74" s="80" t="s">
        <v>47</v>
      </c>
      <c r="J74" s="80" t="s">
        <v>47</v>
      </c>
      <c r="K74" s="90" t="s">
        <v>642</v>
      </c>
      <c r="L74" s="90" t="s">
        <v>628</v>
      </c>
      <c r="M74" s="91" t="s">
        <v>831</v>
      </c>
    </row>
    <row r="75" spans="1:13" x14ac:dyDescent="0.25">
      <c r="A75" s="86"/>
      <c r="B75" s="80">
        <v>70</v>
      </c>
      <c r="C75" s="87" t="str">
        <f t="shared" si="1"/>
        <v>K-70-K05dm</v>
      </c>
      <c r="D75" s="80" t="s">
        <v>734</v>
      </c>
      <c r="E75" s="81" t="s">
        <v>832</v>
      </c>
      <c r="F75" s="82" t="s">
        <v>632</v>
      </c>
      <c r="G75" s="83" t="s">
        <v>641</v>
      </c>
      <c r="H75" s="90" t="s">
        <v>625</v>
      </c>
      <c r="I75" s="80" t="s">
        <v>47</v>
      </c>
      <c r="J75" s="80" t="s">
        <v>47</v>
      </c>
      <c r="K75" s="90" t="s">
        <v>642</v>
      </c>
      <c r="L75" s="90" t="s">
        <v>628</v>
      </c>
      <c r="M75" s="91" t="s">
        <v>833</v>
      </c>
    </row>
    <row r="76" spans="1:13" x14ac:dyDescent="0.25">
      <c r="A76" s="86"/>
      <c r="B76" s="81">
        <v>71</v>
      </c>
      <c r="C76" s="87" t="str">
        <f t="shared" si="1"/>
        <v>K-71-K05pm</v>
      </c>
      <c r="D76" s="80" t="s">
        <v>834</v>
      </c>
      <c r="E76" s="81" t="s">
        <v>835</v>
      </c>
      <c r="F76" s="82" t="s">
        <v>632</v>
      </c>
      <c r="G76" s="83" t="s">
        <v>624</v>
      </c>
      <c r="H76" s="90" t="s">
        <v>625</v>
      </c>
      <c r="I76" s="80" t="s">
        <v>47</v>
      </c>
      <c r="J76" s="80" t="s">
        <v>836</v>
      </c>
      <c r="K76" s="90" t="s">
        <v>627</v>
      </c>
      <c r="L76" s="90" t="s">
        <v>628</v>
      </c>
      <c r="M76" s="91" t="s">
        <v>837</v>
      </c>
    </row>
    <row r="77" spans="1:13" x14ac:dyDescent="0.25">
      <c r="A77" s="86" t="s">
        <v>838</v>
      </c>
      <c r="B77" s="80">
        <v>72</v>
      </c>
      <c r="C77" s="87" t="str">
        <f t="shared" si="1"/>
        <v>K-72-K06dm</v>
      </c>
      <c r="D77" s="92" t="s">
        <v>839</v>
      </c>
      <c r="E77" s="93" t="s">
        <v>840</v>
      </c>
      <c r="F77" s="82" t="s">
        <v>730</v>
      </c>
      <c r="G77" s="83" t="s">
        <v>641</v>
      </c>
      <c r="H77" s="90" t="s">
        <v>625</v>
      </c>
      <c r="I77" s="80" t="s">
        <v>29</v>
      </c>
      <c r="J77" s="80" t="s">
        <v>841</v>
      </c>
      <c r="K77" s="90" t="s">
        <v>68</v>
      </c>
      <c r="L77" s="90" t="s">
        <v>628</v>
      </c>
      <c r="M77" s="91"/>
    </row>
    <row r="78" spans="1:13" x14ac:dyDescent="0.25">
      <c r="A78" s="86" t="s">
        <v>838</v>
      </c>
      <c r="B78" s="81">
        <v>73</v>
      </c>
      <c r="C78" s="87" t="str">
        <f t="shared" si="1"/>
        <v>K-73-K06dm</v>
      </c>
      <c r="D78" s="92" t="s">
        <v>842</v>
      </c>
      <c r="E78" s="93" t="s">
        <v>843</v>
      </c>
      <c r="F78" s="82" t="s">
        <v>730</v>
      </c>
      <c r="G78" s="83" t="s">
        <v>641</v>
      </c>
      <c r="H78" s="90" t="s">
        <v>625</v>
      </c>
      <c r="I78" s="80" t="s">
        <v>29</v>
      </c>
      <c r="J78" s="80" t="s">
        <v>841</v>
      </c>
      <c r="K78" s="90" t="s">
        <v>844</v>
      </c>
      <c r="L78" s="90" t="s">
        <v>628</v>
      </c>
      <c r="M78" s="91"/>
    </row>
    <row r="79" spans="1:13" x14ac:dyDescent="0.25">
      <c r="A79" s="86" t="s">
        <v>845</v>
      </c>
      <c r="B79" s="80">
        <v>74</v>
      </c>
      <c r="C79" s="87" t="str">
        <f t="shared" si="1"/>
        <v>K-74-K05dm</v>
      </c>
      <c r="D79" s="92" t="s">
        <v>846</v>
      </c>
      <c r="E79" s="93" t="s">
        <v>847</v>
      </c>
      <c r="F79" s="82" t="s">
        <v>632</v>
      </c>
      <c r="G79" s="83" t="s">
        <v>641</v>
      </c>
      <c r="H79" s="90" t="s">
        <v>625</v>
      </c>
      <c r="I79" s="80" t="s">
        <v>29</v>
      </c>
      <c r="J79" s="80" t="s">
        <v>848</v>
      </c>
      <c r="K79" s="90" t="s">
        <v>666</v>
      </c>
      <c r="L79" s="90" t="s">
        <v>628</v>
      </c>
      <c r="M79" s="91"/>
    </row>
    <row r="80" spans="1:13" x14ac:dyDescent="0.25">
      <c r="A80" s="86" t="s">
        <v>849</v>
      </c>
      <c r="B80" s="81">
        <v>75</v>
      </c>
      <c r="C80" s="87" t="str">
        <f t="shared" ref="C80:C111" si="2">"K"&amp;"-"&amp;B80&amp;"-"&amp;LEFT(F80,3)&amp;LEFT(G80,1)&amp;LEFT(H80,1)</f>
        <v>K-75-K05dm</v>
      </c>
      <c r="D80" s="92" t="s">
        <v>850</v>
      </c>
      <c r="E80" s="93" t="s">
        <v>851</v>
      </c>
      <c r="F80" s="82" t="s">
        <v>632</v>
      </c>
      <c r="G80" s="83" t="s">
        <v>641</v>
      </c>
      <c r="H80" s="90" t="s">
        <v>625</v>
      </c>
      <c r="I80" s="80" t="s">
        <v>29</v>
      </c>
      <c r="J80" s="80" t="s">
        <v>29</v>
      </c>
      <c r="K80" s="90" t="s">
        <v>671</v>
      </c>
      <c r="L80" s="90" t="s">
        <v>628</v>
      </c>
      <c r="M80" s="91"/>
    </row>
    <row r="81" spans="1:13" x14ac:dyDescent="0.25">
      <c r="A81" s="86" t="s">
        <v>852</v>
      </c>
      <c r="B81" s="80">
        <v>76</v>
      </c>
      <c r="C81" s="87" t="str">
        <f t="shared" si="2"/>
        <v>K-76-K08dm</v>
      </c>
      <c r="D81" s="92" t="s">
        <v>853</v>
      </c>
      <c r="E81" s="93" t="s">
        <v>854</v>
      </c>
      <c r="F81" s="82" t="s">
        <v>654</v>
      </c>
      <c r="G81" s="83" t="s">
        <v>641</v>
      </c>
      <c r="H81" s="90" t="s">
        <v>625</v>
      </c>
      <c r="I81" s="80" t="s">
        <v>29</v>
      </c>
      <c r="J81" s="80" t="s">
        <v>855</v>
      </c>
      <c r="K81" s="90" t="s">
        <v>844</v>
      </c>
      <c r="L81" s="90" t="s">
        <v>628</v>
      </c>
      <c r="M81" s="91"/>
    </row>
    <row r="82" spans="1:13" x14ac:dyDescent="0.25">
      <c r="A82" s="86" t="s">
        <v>856</v>
      </c>
      <c r="B82" s="81">
        <v>77</v>
      </c>
      <c r="C82" s="87" t="str">
        <f t="shared" si="2"/>
        <v>K-77-K08dm</v>
      </c>
      <c r="D82" s="92" t="s">
        <v>857</v>
      </c>
      <c r="E82" s="93" t="s">
        <v>858</v>
      </c>
      <c r="F82" s="82" t="s">
        <v>654</v>
      </c>
      <c r="G82" s="83" t="s">
        <v>641</v>
      </c>
      <c r="H82" s="90" t="s">
        <v>625</v>
      </c>
      <c r="I82" s="80" t="s">
        <v>29</v>
      </c>
      <c r="J82" s="80" t="s">
        <v>859</v>
      </c>
      <c r="K82" s="90" t="s">
        <v>627</v>
      </c>
      <c r="L82" s="90" t="s">
        <v>628</v>
      </c>
      <c r="M82" s="91" t="s">
        <v>723</v>
      </c>
    </row>
    <row r="83" spans="1:13" x14ac:dyDescent="0.25">
      <c r="A83" s="86" t="s">
        <v>860</v>
      </c>
      <c r="B83" s="80">
        <v>78</v>
      </c>
      <c r="C83" s="87" t="str">
        <f t="shared" si="2"/>
        <v>K-78-K02dm</v>
      </c>
      <c r="D83" s="92" t="s">
        <v>861</v>
      </c>
      <c r="E83" s="93" t="s">
        <v>862</v>
      </c>
      <c r="F83" s="82" t="s">
        <v>772</v>
      </c>
      <c r="G83" s="83" t="s">
        <v>641</v>
      </c>
      <c r="H83" s="90" t="s">
        <v>625</v>
      </c>
      <c r="I83" s="80" t="s">
        <v>29</v>
      </c>
      <c r="J83" s="80" t="s">
        <v>859</v>
      </c>
      <c r="K83" s="90" t="s">
        <v>627</v>
      </c>
      <c r="L83" s="90" t="s">
        <v>628</v>
      </c>
      <c r="M83" s="91" t="s">
        <v>723</v>
      </c>
    </row>
    <row r="84" spans="1:13" x14ac:dyDescent="0.25">
      <c r="A84" s="86" t="s">
        <v>863</v>
      </c>
      <c r="B84" s="81">
        <v>79</v>
      </c>
      <c r="C84" s="87" t="str">
        <f t="shared" si="2"/>
        <v>K-79-K05pm</v>
      </c>
      <c r="D84" s="92" t="s">
        <v>864</v>
      </c>
      <c r="E84" s="93" t="s">
        <v>865</v>
      </c>
      <c r="F84" s="82" t="s">
        <v>632</v>
      </c>
      <c r="G84" s="83" t="s">
        <v>624</v>
      </c>
      <c r="H84" s="90" t="s">
        <v>625</v>
      </c>
      <c r="I84" s="80" t="s">
        <v>29</v>
      </c>
      <c r="J84" s="80" t="s">
        <v>29</v>
      </c>
      <c r="K84" s="90" t="s">
        <v>627</v>
      </c>
      <c r="L84" s="90" t="s">
        <v>628</v>
      </c>
      <c r="M84" s="91" t="s">
        <v>723</v>
      </c>
    </row>
    <row r="85" spans="1:13" x14ac:dyDescent="0.25">
      <c r="A85" s="86"/>
      <c r="B85" s="80">
        <v>80</v>
      </c>
      <c r="C85" s="87" t="str">
        <f t="shared" si="2"/>
        <v>K-80-K04dm</v>
      </c>
      <c r="D85" s="80" t="s">
        <v>866</v>
      </c>
      <c r="E85" s="81" t="s">
        <v>867</v>
      </c>
      <c r="F85" s="82" t="s">
        <v>640</v>
      </c>
      <c r="G85" s="83" t="s">
        <v>641</v>
      </c>
      <c r="H85" s="90" t="s">
        <v>625</v>
      </c>
      <c r="I85" s="80" t="s">
        <v>868</v>
      </c>
      <c r="J85" s="80" t="s">
        <v>868</v>
      </c>
      <c r="K85" s="90" t="s">
        <v>68</v>
      </c>
      <c r="L85" s="90" t="s">
        <v>628</v>
      </c>
      <c r="M85" s="91" t="s">
        <v>869</v>
      </c>
    </row>
    <row r="86" spans="1:13" x14ac:dyDescent="0.25">
      <c r="A86" s="86"/>
      <c r="B86" s="81">
        <v>81</v>
      </c>
      <c r="C86" s="87" t="str">
        <f t="shared" si="2"/>
        <v>K-81-K04pm</v>
      </c>
      <c r="D86" s="80" t="s">
        <v>869</v>
      </c>
      <c r="E86" s="81" t="s">
        <v>870</v>
      </c>
      <c r="F86" s="82" t="s">
        <v>640</v>
      </c>
      <c r="G86" s="83" t="s">
        <v>624</v>
      </c>
      <c r="H86" s="90" t="s">
        <v>625</v>
      </c>
      <c r="I86" s="80" t="s">
        <v>868</v>
      </c>
      <c r="J86" s="80" t="s">
        <v>868</v>
      </c>
      <c r="K86" s="90" t="s">
        <v>666</v>
      </c>
      <c r="L86" s="90" t="s">
        <v>628</v>
      </c>
      <c r="M86" s="91" t="s">
        <v>869</v>
      </c>
    </row>
    <row r="87" spans="1:13" x14ac:dyDescent="0.25">
      <c r="A87" s="86"/>
      <c r="B87" s="80">
        <v>82</v>
      </c>
      <c r="C87" s="87" t="str">
        <f t="shared" si="2"/>
        <v>K-82-K05dm</v>
      </c>
      <c r="D87" s="80" t="s">
        <v>871</v>
      </c>
      <c r="E87" s="81" t="s">
        <v>872</v>
      </c>
      <c r="F87" s="82" t="s">
        <v>632</v>
      </c>
      <c r="G87" s="83" t="s">
        <v>641</v>
      </c>
      <c r="H87" s="90" t="s">
        <v>625</v>
      </c>
      <c r="I87" s="80" t="s">
        <v>868</v>
      </c>
      <c r="J87" s="80" t="s">
        <v>868</v>
      </c>
      <c r="K87" s="90" t="s">
        <v>666</v>
      </c>
      <c r="L87" s="90" t="s">
        <v>628</v>
      </c>
      <c r="M87" s="91" t="s">
        <v>869</v>
      </c>
    </row>
    <row r="88" spans="1:13" x14ac:dyDescent="0.25">
      <c r="A88" s="86"/>
      <c r="B88" s="81">
        <v>83</v>
      </c>
      <c r="C88" s="87" t="str">
        <f t="shared" si="2"/>
        <v>K-83-K04dm</v>
      </c>
      <c r="D88" s="80" t="s">
        <v>873</v>
      </c>
      <c r="E88" s="81" t="s">
        <v>874</v>
      </c>
      <c r="F88" s="82" t="s">
        <v>640</v>
      </c>
      <c r="G88" s="83" t="s">
        <v>641</v>
      </c>
      <c r="H88" s="90" t="s">
        <v>625</v>
      </c>
      <c r="I88" s="80" t="s">
        <v>868</v>
      </c>
      <c r="J88" s="80" t="s">
        <v>868</v>
      </c>
      <c r="K88" s="90" t="s">
        <v>666</v>
      </c>
      <c r="L88" s="90" t="s">
        <v>628</v>
      </c>
      <c r="M88" s="91" t="s">
        <v>869</v>
      </c>
    </row>
    <row r="89" spans="1:13" x14ac:dyDescent="0.25">
      <c r="A89" s="86"/>
      <c r="B89" s="80">
        <v>84</v>
      </c>
      <c r="C89" s="87" t="str">
        <f t="shared" si="2"/>
        <v>K-84-K04pm</v>
      </c>
      <c r="D89" s="80" t="s">
        <v>875</v>
      </c>
      <c r="E89" s="81" t="s">
        <v>876</v>
      </c>
      <c r="F89" s="82" t="s">
        <v>640</v>
      </c>
      <c r="G89" s="83" t="s">
        <v>624</v>
      </c>
      <c r="H89" s="90" t="s">
        <v>625</v>
      </c>
      <c r="I89" s="80" t="s">
        <v>868</v>
      </c>
      <c r="J89" s="80" t="s">
        <v>868</v>
      </c>
      <c r="K89" s="90" t="s">
        <v>666</v>
      </c>
      <c r="L89" s="90" t="s">
        <v>628</v>
      </c>
      <c r="M89" s="91" t="s">
        <v>869</v>
      </c>
    </row>
    <row r="90" spans="1:13" x14ac:dyDescent="0.25">
      <c r="A90" s="86"/>
      <c r="B90" s="81">
        <v>85</v>
      </c>
      <c r="C90" s="87" t="str">
        <f t="shared" si="2"/>
        <v>K-85-K04dm</v>
      </c>
      <c r="D90" s="80" t="s">
        <v>877</v>
      </c>
      <c r="E90" s="81" t="s">
        <v>878</v>
      </c>
      <c r="F90" s="82" t="s">
        <v>640</v>
      </c>
      <c r="G90" s="83" t="s">
        <v>641</v>
      </c>
      <c r="H90" s="90" t="s">
        <v>625</v>
      </c>
      <c r="I90" s="80" t="s">
        <v>868</v>
      </c>
      <c r="J90" s="80" t="s">
        <v>868</v>
      </c>
      <c r="K90" s="90" t="s">
        <v>68</v>
      </c>
      <c r="L90" s="90" t="s">
        <v>628</v>
      </c>
      <c r="M90" s="91" t="s">
        <v>869</v>
      </c>
    </row>
    <row r="91" spans="1:13" x14ac:dyDescent="0.25">
      <c r="A91" s="86"/>
      <c r="B91" s="80">
        <v>86</v>
      </c>
      <c r="C91" s="87" t="str">
        <f t="shared" si="2"/>
        <v>K-86-K04pm</v>
      </c>
      <c r="D91" s="80" t="s">
        <v>879</v>
      </c>
      <c r="E91" s="81" t="s">
        <v>880</v>
      </c>
      <c r="F91" s="82" t="s">
        <v>640</v>
      </c>
      <c r="G91" s="83" t="s">
        <v>624</v>
      </c>
      <c r="H91" s="90" t="s">
        <v>625</v>
      </c>
      <c r="I91" s="80" t="s">
        <v>305</v>
      </c>
      <c r="J91" s="80" t="s">
        <v>881</v>
      </c>
      <c r="K91" s="90" t="s">
        <v>627</v>
      </c>
      <c r="L91" s="90" t="s">
        <v>634</v>
      </c>
      <c r="M91" s="91" t="s">
        <v>882</v>
      </c>
    </row>
    <row r="92" spans="1:13" x14ac:dyDescent="0.25">
      <c r="A92" s="86"/>
      <c r="B92" s="81">
        <v>87</v>
      </c>
      <c r="C92" s="87" t="str">
        <f t="shared" si="2"/>
        <v>K-87-K04pm</v>
      </c>
      <c r="D92" s="80" t="s">
        <v>883</v>
      </c>
      <c r="E92" s="81" t="s">
        <v>884</v>
      </c>
      <c r="F92" s="82" t="s">
        <v>640</v>
      </c>
      <c r="G92" s="83" t="s">
        <v>624</v>
      </c>
      <c r="H92" s="90" t="s">
        <v>625</v>
      </c>
      <c r="I92" s="80" t="s">
        <v>305</v>
      </c>
      <c r="J92" s="80" t="s">
        <v>885</v>
      </c>
      <c r="K92" s="90" t="s">
        <v>642</v>
      </c>
      <c r="L92" s="90" t="s">
        <v>628</v>
      </c>
      <c r="M92" s="91" t="s">
        <v>651</v>
      </c>
    </row>
    <row r="93" spans="1:13" x14ac:dyDescent="0.25">
      <c r="A93" s="86"/>
      <c r="B93" s="80">
        <v>88</v>
      </c>
      <c r="C93" s="87" t="str">
        <f t="shared" si="2"/>
        <v>K-88-K03dm</v>
      </c>
      <c r="D93" s="80" t="s">
        <v>886</v>
      </c>
      <c r="E93" s="81" t="s">
        <v>887</v>
      </c>
      <c r="F93" s="82" t="s">
        <v>686</v>
      </c>
      <c r="G93" s="83" t="s">
        <v>641</v>
      </c>
      <c r="H93" s="90" t="s">
        <v>625</v>
      </c>
      <c r="I93" s="80" t="s">
        <v>305</v>
      </c>
      <c r="J93" s="80" t="s">
        <v>881</v>
      </c>
      <c r="K93" s="90" t="s">
        <v>642</v>
      </c>
      <c r="L93" s="90" t="s">
        <v>628</v>
      </c>
      <c r="M93" s="91" t="s">
        <v>888</v>
      </c>
    </row>
    <row r="94" spans="1:13" x14ac:dyDescent="0.25">
      <c r="A94" s="86"/>
      <c r="B94" s="80">
        <v>89</v>
      </c>
      <c r="C94" s="87" t="str">
        <f t="shared" si="2"/>
        <v>K-89-K03pm</v>
      </c>
      <c r="D94" s="80" t="s">
        <v>889</v>
      </c>
      <c r="E94" s="81" t="s">
        <v>890</v>
      </c>
      <c r="F94" s="82" t="s">
        <v>686</v>
      </c>
      <c r="G94" s="83" t="s">
        <v>624</v>
      </c>
      <c r="H94" s="90" t="s">
        <v>625</v>
      </c>
      <c r="I94" s="80" t="s">
        <v>305</v>
      </c>
      <c r="J94" s="80" t="s">
        <v>881</v>
      </c>
      <c r="K94" s="90" t="s">
        <v>627</v>
      </c>
      <c r="L94" s="90" t="s">
        <v>628</v>
      </c>
      <c r="M94" s="91" t="s">
        <v>891</v>
      </c>
    </row>
    <row r="95" spans="1:13" x14ac:dyDescent="0.25">
      <c r="A95" s="86"/>
      <c r="B95" s="80">
        <v>90</v>
      </c>
      <c r="C95" s="87" t="str">
        <f t="shared" si="2"/>
        <v>K-90-K04pm</v>
      </c>
      <c r="D95" s="80" t="s">
        <v>892</v>
      </c>
      <c r="E95" s="81" t="s">
        <v>893</v>
      </c>
      <c r="F95" s="82" t="s">
        <v>640</v>
      </c>
      <c r="G95" s="83" t="s">
        <v>624</v>
      </c>
      <c r="H95" s="90" t="s">
        <v>625</v>
      </c>
      <c r="I95" s="80" t="s">
        <v>305</v>
      </c>
      <c r="J95" s="80" t="s">
        <v>894</v>
      </c>
      <c r="K95" s="90" t="s">
        <v>666</v>
      </c>
      <c r="L95" s="90" t="s">
        <v>628</v>
      </c>
      <c r="M95" s="91" t="s">
        <v>651</v>
      </c>
    </row>
    <row r="96" spans="1:13" x14ac:dyDescent="0.25">
      <c r="A96" s="86"/>
      <c r="B96" s="80">
        <v>91</v>
      </c>
      <c r="C96" s="87" t="str">
        <f t="shared" si="2"/>
        <v>K-91-K07pm</v>
      </c>
      <c r="D96" s="80" t="s">
        <v>895</v>
      </c>
      <c r="E96" s="81" t="s">
        <v>896</v>
      </c>
      <c r="F96" s="82" t="s">
        <v>650</v>
      </c>
      <c r="G96" s="83" t="s">
        <v>624</v>
      </c>
      <c r="H96" s="90" t="s">
        <v>625</v>
      </c>
      <c r="I96" s="80" t="s">
        <v>305</v>
      </c>
      <c r="J96" s="80" t="s">
        <v>894</v>
      </c>
      <c r="K96" s="90" t="s">
        <v>627</v>
      </c>
      <c r="L96" s="90" t="s">
        <v>628</v>
      </c>
      <c r="M96" s="91" t="s">
        <v>651</v>
      </c>
    </row>
    <row r="97" spans="1:13" x14ac:dyDescent="0.25">
      <c r="A97" s="86"/>
      <c r="B97" s="80">
        <v>92</v>
      </c>
      <c r="C97" s="87" t="str">
        <f t="shared" si="2"/>
        <v>K-92-K05pm</v>
      </c>
      <c r="D97" s="80" t="s">
        <v>897</v>
      </c>
      <c r="E97" s="81" t="s">
        <v>898</v>
      </c>
      <c r="F97" s="82" t="s">
        <v>632</v>
      </c>
      <c r="G97" s="83" t="s">
        <v>624</v>
      </c>
      <c r="H97" s="90" t="s">
        <v>625</v>
      </c>
      <c r="I97" s="80" t="s">
        <v>305</v>
      </c>
      <c r="J97" s="80" t="s">
        <v>881</v>
      </c>
      <c r="K97" s="90" t="s">
        <v>666</v>
      </c>
      <c r="L97" s="90" t="s">
        <v>628</v>
      </c>
      <c r="M97" s="91" t="s">
        <v>651</v>
      </c>
    </row>
    <row r="98" spans="1:13" x14ac:dyDescent="0.25">
      <c r="A98" s="86"/>
      <c r="B98" s="80">
        <v>93</v>
      </c>
      <c r="C98" s="87" t="str">
        <f t="shared" si="2"/>
        <v>K-93-K05pm</v>
      </c>
      <c r="D98" s="80" t="s">
        <v>899</v>
      </c>
      <c r="E98" s="81" t="s">
        <v>900</v>
      </c>
      <c r="F98" s="82" t="s">
        <v>632</v>
      </c>
      <c r="G98" s="83" t="s">
        <v>624</v>
      </c>
      <c r="H98" s="90" t="s">
        <v>625</v>
      </c>
      <c r="I98" s="80" t="s">
        <v>305</v>
      </c>
      <c r="J98" s="80" t="s">
        <v>881</v>
      </c>
      <c r="K98" s="90" t="s">
        <v>666</v>
      </c>
      <c r="L98" s="90" t="s">
        <v>628</v>
      </c>
      <c r="M98" s="91" t="s">
        <v>651</v>
      </c>
    </row>
    <row r="99" spans="1:13" x14ac:dyDescent="0.25">
      <c r="A99" s="86"/>
      <c r="B99" s="80">
        <v>94</v>
      </c>
      <c r="C99" s="87" t="str">
        <f t="shared" si="2"/>
        <v>K-94-K06pm</v>
      </c>
      <c r="D99" s="80" t="s">
        <v>901</v>
      </c>
      <c r="E99" s="81" t="s">
        <v>902</v>
      </c>
      <c r="F99" s="82" t="s">
        <v>730</v>
      </c>
      <c r="G99" s="83" t="s">
        <v>624</v>
      </c>
      <c r="H99" s="90" t="s">
        <v>625</v>
      </c>
      <c r="I99" s="80" t="s">
        <v>305</v>
      </c>
      <c r="J99" s="80" t="s">
        <v>881</v>
      </c>
      <c r="K99" s="90" t="s">
        <v>627</v>
      </c>
      <c r="L99" s="90" t="s">
        <v>628</v>
      </c>
      <c r="M99" s="91" t="s">
        <v>903</v>
      </c>
    </row>
    <row r="100" spans="1:13" x14ac:dyDescent="0.25">
      <c r="A100" s="86"/>
      <c r="B100" s="80">
        <v>95</v>
      </c>
      <c r="C100" s="87" t="str">
        <f t="shared" si="2"/>
        <v>K-95-K06pm</v>
      </c>
      <c r="D100" s="80" t="s">
        <v>770</v>
      </c>
      <c r="E100" s="81" t="s">
        <v>904</v>
      </c>
      <c r="F100" s="82" t="s">
        <v>730</v>
      </c>
      <c r="G100" s="83" t="s">
        <v>624</v>
      </c>
      <c r="H100" s="90" t="s">
        <v>625</v>
      </c>
      <c r="I100" s="80" t="s">
        <v>305</v>
      </c>
      <c r="J100" s="80" t="s">
        <v>881</v>
      </c>
      <c r="K100" s="90" t="s">
        <v>627</v>
      </c>
      <c r="L100" s="90" t="s">
        <v>628</v>
      </c>
      <c r="M100" s="91" t="s">
        <v>905</v>
      </c>
    </row>
    <row r="101" spans="1:13" x14ac:dyDescent="0.25">
      <c r="A101" s="86"/>
      <c r="B101" s="80">
        <v>96</v>
      </c>
      <c r="C101" s="87" t="str">
        <f t="shared" si="2"/>
        <v>K-96-K04pm</v>
      </c>
      <c r="D101" s="80" t="s">
        <v>906</v>
      </c>
      <c r="E101" s="81" t="s">
        <v>907</v>
      </c>
      <c r="F101" s="82" t="s">
        <v>640</v>
      </c>
      <c r="G101" s="83" t="s">
        <v>624</v>
      </c>
      <c r="H101" s="90" t="s">
        <v>625</v>
      </c>
      <c r="I101" s="80" t="s">
        <v>305</v>
      </c>
      <c r="J101" s="80" t="s">
        <v>908</v>
      </c>
      <c r="K101" s="90" t="s">
        <v>627</v>
      </c>
      <c r="L101" s="90" t="s">
        <v>628</v>
      </c>
      <c r="M101" s="91" t="s">
        <v>909</v>
      </c>
    </row>
    <row r="102" spans="1:13" x14ac:dyDescent="0.25">
      <c r="A102" s="86"/>
      <c r="B102" s="80">
        <v>97</v>
      </c>
      <c r="C102" s="87" t="str">
        <f t="shared" si="2"/>
        <v>K-97-K03pm</v>
      </c>
      <c r="D102" s="80" t="s">
        <v>910</v>
      </c>
      <c r="E102" s="81" t="s">
        <v>911</v>
      </c>
      <c r="F102" s="82" t="s">
        <v>686</v>
      </c>
      <c r="G102" s="83" t="s">
        <v>624</v>
      </c>
      <c r="H102" s="90" t="s">
        <v>625</v>
      </c>
      <c r="I102" s="80" t="s">
        <v>305</v>
      </c>
      <c r="J102" s="80" t="s">
        <v>885</v>
      </c>
      <c r="K102" s="90" t="s">
        <v>912</v>
      </c>
      <c r="L102" s="90" t="s">
        <v>628</v>
      </c>
      <c r="M102" s="91" t="s">
        <v>651</v>
      </c>
    </row>
    <row r="103" spans="1:13" x14ac:dyDescent="0.25">
      <c r="A103" s="86"/>
      <c r="B103" s="80">
        <v>98</v>
      </c>
      <c r="C103" s="87" t="str">
        <f t="shared" si="2"/>
        <v>K-98-K05da</v>
      </c>
      <c r="D103" s="80" t="s">
        <v>913</v>
      </c>
      <c r="E103" s="81" t="s">
        <v>914</v>
      </c>
      <c r="F103" s="82" t="s">
        <v>632</v>
      </c>
      <c r="G103" s="83" t="s">
        <v>641</v>
      </c>
      <c r="H103" s="90" t="s">
        <v>675</v>
      </c>
      <c r="I103" s="80" t="s">
        <v>305</v>
      </c>
      <c r="J103" s="80" t="s">
        <v>885</v>
      </c>
      <c r="K103" s="90" t="s">
        <v>912</v>
      </c>
      <c r="L103" s="90" t="s">
        <v>628</v>
      </c>
      <c r="M103" s="91" t="s">
        <v>915</v>
      </c>
    </row>
    <row r="104" spans="1:13" x14ac:dyDescent="0.25">
      <c r="A104" s="86"/>
      <c r="B104" s="80">
        <v>99</v>
      </c>
      <c r="C104" s="87" t="str">
        <f t="shared" si="2"/>
        <v>K-99-K05pm</v>
      </c>
      <c r="D104" s="80" t="s">
        <v>916</v>
      </c>
      <c r="E104" s="81" t="s">
        <v>917</v>
      </c>
      <c r="F104" s="82" t="s">
        <v>632</v>
      </c>
      <c r="G104" s="83" t="s">
        <v>624</v>
      </c>
      <c r="H104" s="90" t="s">
        <v>625</v>
      </c>
      <c r="I104" s="80" t="s">
        <v>305</v>
      </c>
      <c r="J104" s="80" t="s">
        <v>885</v>
      </c>
      <c r="K104" s="90" t="s">
        <v>662</v>
      </c>
      <c r="L104" s="90" t="s">
        <v>628</v>
      </c>
      <c r="M104" s="91" t="s">
        <v>918</v>
      </c>
    </row>
    <row r="105" spans="1:13" x14ac:dyDescent="0.25">
      <c r="A105" s="86"/>
      <c r="B105" s="80">
        <v>100</v>
      </c>
      <c r="C105" s="87" t="str">
        <f t="shared" si="2"/>
        <v>K-100-K06pm</v>
      </c>
      <c r="D105" s="80" t="s">
        <v>919</v>
      </c>
      <c r="E105" s="81" t="s">
        <v>920</v>
      </c>
      <c r="F105" s="82" t="s">
        <v>730</v>
      </c>
      <c r="G105" s="83" t="s">
        <v>624</v>
      </c>
      <c r="H105" s="90" t="s">
        <v>625</v>
      </c>
      <c r="I105" s="80" t="s">
        <v>305</v>
      </c>
      <c r="J105" s="80" t="s">
        <v>894</v>
      </c>
      <c r="K105" s="90" t="s">
        <v>666</v>
      </c>
      <c r="L105" s="90" t="s">
        <v>628</v>
      </c>
      <c r="M105" s="91" t="s">
        <v>651</v>
      </c>
    </row>
    <row r="106" spans="1:13" x14ac:dyDescent="0.25">
      <c r="A106" s="86"/>
      <c r="B106" s="80">
        <v>101</v>
      </c>
      <c r="C106" s="87" t="str">
        <f t="shared" si="2"/>
        <v>K-101-K03pm</v>
      </c>
      <c r="D106" s="80" t="s">
        <v>921</v>
      </c>
      <c r="E106" s="81" t="s">
        <v>922</v>
      </c>
      <c r="F106" s="82" t="s">
        <v>686</v>
      </c>
      <c r="G106" s="83" t="s">
        <v>624</v>
      </c>
      <c r="H106" s="90" t="s">
        <v>625</v>
      </c>
      <c r="I106" s="80" t="s">
        <v>305</v>
      </c>
      <c r="J106" s="80" t="s">
        <v>894</v>
      </c>
      <c r="K106" s="90" t="s">
        <v>627</v>
      </c>
      <c r="L106" s="90" t="s">
        <v>628</v>
      </c>
      <c r="M106" s="91" t="s">
        <v>923</v>
      </c>
    </row>
    <row r="107" spans="1:13" x14ac:dyDescent="0.25">
      <c r="A107" s="86"/>
      <c r="B107" s="80">
        <v>102</v>
      </c>
      <c r="C107" s="87" t="str">
        <f t="shared" si="2"/>
        <v>K-102-K03pm</v>
      </c>
      <c r="D107" s="80" t="s">
        <v>924</v>
      </c>
      <c r="E107" s="81" t="s">
        <v>925</v>
      </c>
      <c r="F107" s="82" t="s">
        <v>686</v>
      </c>
      <c r="G107" s="83" t="s">
        <v>624</v>
      </c>
      <c r="H107" s="90" t="s">
        <v>625</v>
      </c>
      <c r="I107" s="80" t="s">
        <v>305</v>
      </c>
      <c r="J107" s="80" t="s">
        <v>926</v>
      </c>
      <c r="K107" s="90" t="s">
        <v>627</v>
      </c>
      <c r="L107" s="90" t="s">
        <v>628</v>
      </c>
      <c r="M107" s="91" t="s">
        <v>927</v>
      </c>
    </row>
    <row r="108" spans="1:13" x14ac:dyDescent="0.25">
      <c r="A108" s="86"/>
      <c r="B108" s="80">
        <v>103</v>
      </c>
      <c r="C108" s="87" t="str">
        <f t="shared" si="2"/>
        <v>K-103-K03pm</v>
      </c>
      <c r="D108" s="80" t="s">
        <v>928</v>
      </c>
      <c r="E108" s="80" t="s">
        <v>928</v>
      </c>
      <c r="F108" s="82" t="s">
        <v>686</v>
      </c>
      <c r="G108" s="83" t="s">
        <v>624</v>
      </c>
      <c r="H108" s="90" t="s">
        <v>625</v>
      </c>
      <c r="I108" s="80" t="s">
        <v>305</v>
      </c>
      <c r="J108" s="80" t="s">
        <v>881</v>
      </c>
      <c r="K108" s="90" t="s">
        <v>662</v>
      </c>
      <c r="L108" s="90" t="s">
        <v>628</v>
      </c>
      <c r="M108" s="91" t="s">
        <v>693</v>
      </c>
    </row>
    <row r="109" spans="1:13" x14ac:dyDescent="0.25">
      <c r="A109" s="86"/>
      <c r="B109" s="80">
        <v>104</v>
      </c>
      <c r="C109" s="87" t="str">
        <f t="shared" si="2"/>
        <v>K-104-K04pm</v>
      </c>
      <c r="D109" s="80" t="s">
        <v>929</v>
      </c>
      <c r="E109" s="81" t="s">
        <v>930</v>
      </c>
      <c r="F109" s="82" t="s">
        <v>640</v>
      </c>
      <c r="G109" s="83" t="s">
        <v>624</v>
      </c>
      <c r="H109" s="90" t="s">
        <v>625</v>
      </c>
      <c r="I109" s="80" t="s">
        <v>305</v>
      </c>
      <c r="J109" s="80" t="s">
        <v>881</v>
      </c>
      <c r="K109" s="90" t="s">
        <v>642</v>
      </c>
      <c r="L109" s="90" t="s">
        <v>628</v>
      </c>
      <c r="M109" s="91" t="s">
        <v>693</v>
      </c>
    </row>
    <row r="110" spans="1:13" x14ac:dyDescent="0.25">
      <c r="A110" s="86"/>
      <c r="B110" s="80">
        <v>105</v>
      </c>
      <c r="C110" s="87" t="str">
        <f t="shared" si="2"/>
        <v>K-105-K05pm</v>
      </c>
      <c r="D110" s="80" t="s">
        <v>931</v>
      </c>
      <c r="E110" s="81" t="s">
        <v>932</v>
      </c>
      <c r="F110" s="82" t="s">
        <v>632</v>
      </c>
      <c r="G110" s="83" t="s">
        <v>624</v>
      </c>
      <c r="H110" s="90" t="s">
        <v>625</v>
      </c>
      <c r="I110" s="80" t="s">
        <v>305</v>
      </c>
      <c r="J110" s="80" t="s">
        <v>933</v>
      </c>
      <c r="K110" s="90" t="s">
        <v>642</v>
      </c>
      <c r="L110" s="90" t="s">
        <v>628</v>
      </c>
      <c r="M110" s="91" t="s">
        <v>934</v>
      </c>
    </row>
    <row r="111" spans="1:13" ht="15.75" thickBot="1" x14ac:dyDescent="0.3">
      <c r="A111" s="94"/>
      <c r="B111" s="95">
        <v>106</v>
      </c>
      <c r="C111" s="96" t="str">
        <f t="shared" si="2"/>
        <v>K-106-</v>
      </c>
      <c r="D111" s="95"/>
      <c r="E111" s="97"/>
      <c r="F111" s="98"/>
      <c r="G111" s="99"/>
      <c r="H111" s="100"/>
      <c r="I111" s="95"/>
      <c r="J111" s="95"/>
      <c r="K111" s="100"/>
      <c r="L111" s="100"/>
      <c r="M111" s="101"/>
    </row>
  </sheetData>
  <mergeCells count="2">
    <mergeCell ref="A4:C4"/>
    <mergeCell ref="D4:M4"/>
  </mergeCells>
  <pageMargins left="0.51181102362204722" right="0.31496062992125984" top="0.35433070866141736" bottom="0.35433070866141736" header="0.31496062992125984" footer="0.31496062992125984"/>
  <pageSetup paperSize="9" scale="33" fitToHeight="0" orientation="landscape" cellComments="asDisplayed"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700-000000000000}">
          <x14:formula1>
            <xm:f>'\\10.0.0.19\Sdileni\06 EKO\NOVA STRUKTURA DISKU EKO\02-PRACOVNÍ SLOŽKY\SL\Risk Management Tools\Identification\[Kopie - Katalog kontrol (2)Kamila.xlsx]Číselníky'!#REF!</xm:f>
          </x14:formula1>
          <xm:sqref>G94:H94 K94:L94</xm:sqref>
        </x14:dataValidation>
        <x14:dataValidation type="list" allowBlank="1" showInputMessage="1" showErrorMessage="1" xr:uid="{00000000-0002-0000-0700-000001000000}">
          <x14:formula1>
            <xm:f>'\\10.0.0.19\Sdileni\06 EKO\NOVA STRUKTURA DISKU EKO\02-PRACOVNÍ SLOŽKY\SL\Risk Management Tools\Identification\[Katalog kontrol.xlsx]Číselníky'!#REF!</xm:f>
          </x14:formula1>
          <xm:sqref>K6:L93 K95:L65544 G6:H93 G95:H65544 F6:F65544</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IU16"/>
  <sheetViews>
    <sheetView showGridLines="0" workbookViewId="0">
      <pane ySplit="1" topLeftCell="A2" activePane="bottomLeft" state="frozen"/>
      <selection activeCell="E45" sqref="E45"/>
      <selection pane="bottomLeft" activeCell="E45" sqref="E45"/>
    </sheetView>
  </sheetViews>
  <sheetFormatPr defaultColWidth="0" defaultRowHeight="15" zeroHeight="1" x14ac:dyDescent="0.25"/>
  <cols>
    <col min="1" max="1" width="6" style="102" customWidth="1"/>
    <col min="2" max="2" width="35.140625" style="102" customWidth="1"/>
    <col min="3" max="3" width="153.140625" style="102" customWidth="1"/>
    <col min="4" max="4" width="19.140625" style="111" customWidth="1"/>
    <col min="5" max="5" width="27.42578125" style="111" customWidth="1"/>
    <col min="6" max="255" width="9.140625" style="102" customWidth="1"/>
    <col min="256" max="16384" width="42.85546875" style="102" hidden="1"/>
  </cols>
  <sheetData>
    <row r="1" spans="1:5" ht="15.75" customHeight="1" thickBot="1" x14ac:dyDescent="0.3">
      <c r="A1" s="167" t="s">
        <v>935</v>
      </c>
      <c r="B1" s="168"/>
      <c r="C1" s="169" t="s">
        <v>936</v>
      </c>
      <c r="D1" s="170"/>
      <c r="E1" s="170"/>
    </row>
    <row r="2" spans="1:5" ht="65.25" customHeight="1" thickTop="1" thickBot="1" x14ac:dyDescent="0.3">
      <c r="A2" s="103" t="s">
        <v>937</v>
      </c>
      <c r="B2" s="104" t="s">
        <v>938</v>
      </c>
      <c r="C2" s="105" t="s">
        <v>939</v>
      </c>
      <c r="D2" s="106" t="s">
        <v>624</v>
      </c>
      <c r="E2" s="106" t="s">
        <v>940</v>
      </c>
    </row>
    <row r="3" spans="1:5" ht="65.25" customHeight="1" thickBot="1" x14ac:dyDescent="0.3">
      <c r="A3" s="107" t="s">
        <v>941</v>
      </c>
      <c r="B3" s="104" t="s">
        <v>942</v>
      </c>
      <c r="C3" s="108" t="s">
        <v>943</v>
      </c>
      <c r="D3" s="109" t="s">
        <v>944</v>
      </c>
      <c r="E3" s="109" t="s">
        <v>940</v>
      </c>
    </row>
    <row r="4" spans="1:5" ht="65.25" customHeight="1" thickBot="1" x14ac:dyDescent="0.3">
      <c r="A4" s="107" t="s">
        <v>945</v>
      </c>
      <c r="B4" s="110" t="s">
        <v>946</v>
      </c>
      <c r="C4" s="105" t="s">
        <v>947</v>
      </c>
      <c r="D4" s="106" t="s">
        <v>944</v>
      </c>
      <c r="E4" s="106" t="s">
        <v>940</v>
      </c>
    </row>
    <row r="5" spans="1:5" ht="65.25" customHeight="1" thickBot="1" x14ac:dyDescent="0.3">
      <c r="A5" s="107" t="s">
        <v>948</v>
      </c>
      <c r="B5" s="104" t="s">
        <v>949</v>
      </c>
      <c r="C5" s="108" t="s">
        <v>950</v>
      </c>
      <c r="D5" s="109" t="s">
        <v>944</v>
      </c>
      <c r="E5" s="109" t="s">
        <v>940</v>
      </c>
    </row>
    <row r="6" spans="1:5" ht="65.25" customHeight="1" thickBot="1" x14ac:dyDescent="0.3">
      <c r="A6" s="107" t="s">
        <v>951</v>
      </c>
      <c r="B6" s="104" t="s">
        <v>952</v>
      </c>
      <c r="C6" s="105" t="s">
        <v>953</v>
      </c>
      <c r="D6" s="106" t="s">
        <v>944</v>
      </c>
      <c r="E6" s="106" t="s">
        <v>940</v>
      </c>
    </row>
    <row r="7" spans="1:5" ht="65.25" customHeight="1" thickBot="1" x14ac:dyDescent="0.3">
      <c r="A7" s="107" t="s">
        <v>954</v>
      </c>
      <c r="B7" s="104" t="s">
        <v>955</v>
      </c>
      <c r="C7" s="108" t="s">
        <v>956</v>
      </c>
      <c r="D7" s="109" t="s">
        <v>624</v>
      </c>
      <c r="E7" s="109" t="s">
        <v>957</v>
      </c>
    </row>
    <row r="8" spans="1:5" ht="65.25" customHeight="1" thickBot="1" x14ac:dyDescent="0.3">
      <c r="A8" s="107" t="s">
        <v>958</v>
      </c>
      <c r="B8" s="104" t="s">
        <v>959</v>
      </c>
      <c r="C8" s="105" t="s">
        <v>960</v>
      </c>
      <c r="D8" s="106" t="s">
        <v>944</v>
      </c>
      <c r="E8" s="106" t="s">
        <v>961</v>
      </c>
    </row>
    <row r="9" spans="1:5" ht="65.25" customHeight="1" thickBot="1" x14ac:dyDescent="0.3">
      <c r="A9" s="107" t="s">
        <v>962</v>
      </c>
      <c r="B9" s="104" t="s">
        <v>963</v>
      </c>
      <c r="C9" s="108" t="s">
        <v>964</v>
      </c>
      <c r="D9" s="109" t="s">
        <v>641</v>
      </c>
      <c r="E9" s="109" t="s">
        <v>940</v>
      </c>
    </row>
    <row r="10" spans="1:5" ht="65.25" customHeight="1" thickBot="1" x14ac:dyDescent="0.3">
      <c r="A10" s="107" t="s">
        <v>965</v>
      </c>
      <c r="B10" s="104" t="s">
        <v>966</v>
      </c>
      <c r="C10" s="105" t="s">
        <v>967</v>
      </c>
      <c r="D10" s="106" t="s">
        <v>624</v>
      </c>
      <c r="E10" s="106" t="s">
        <v>940</v>
      </c>
    </row>
    <row r="11" spans="1:5" ht="65.25" customHeight="1" thickBot="1" x14ac:dyDescent="0.3">
      <c r="A11" s="107" t="s">
        <v>968</v>
      </c>
      <c r="B11" s="104" t="s">
        <v>969</v>
      </c>
      <c r="C11" s="108" t="s">
        <v>970</v>
      </c>
      <c r="D11" s="109" t="s">
        <v>624</v>
      </c>
      <c r="E11" s="109" t="s">
        <v>971</v>
      </c>
    </row>
    <row r="12" spans="1:5" ht="45.75" thickBot="1" x14ac:dyDescent="0.3">
      <c r="A12" s="107" t="s">
        <v>972</v>
      </c>
      <c r="B12" s="104" t="s">
        <v>973</v>
      </c>
      <c r="C12" s="105" t="s">
        <v>974</v>
      </c>
      <c r="D12" s="106" t="s">
        <v>624</v>
      </c>
      <c r="E12" s="106" t="s">
        <v>675</v>
      </c>
    </row>
    <row r="13" spans="1:5" ht="57.75" customHeight="1" thickBot="1" x14ac:dyDescent="0.3">
      <c r="A13" s="107" t="s">
        <v>975</v>
      </c>
      <c r="B13" s="104" t="s">
        <v>976</v>
      </c>
      <c r="C13" s="108" t="s">
        <v>977</v>
      </c>
      <c r="D13" s="109" t="s">
        <v>624</v>
      </c>
      <c r="E13" s="109" t="s">
        <v>978</v>
      </c>
    </row>
    <row r="14" spans="1:5" ht="39" customHeight="1" thickBot="1" x14ac:dyDescent="0.3">
      <c r="A14" s="107" t="s">
        <v>979</v>
      </c>
      <c r="B14" s="104" t="s">
        <v>980</v>
      </c>
      <c r="C14" s="105" t="s">
        <v>981</v>
      </c>
      <c r="D14" s="106" t="s">
        <v>624</v>
      </c>
      <c r="E14" s="106" t="s">
        <v>982</v>
      </c>
    </row>
    <row r="15" spans="1:5" ht="15.75" thickBot="1" x14ac:dyDescent="0.3">
      <c r="A15" s="107" t="s">
        <v>983</v>
      </c>
      <c r="B15" s="104" t="s">
        <v>984</v>
      </c>
      <c r="C15" s="108" t="s">
        <v>985</v>
      </c>
      <c r="D15" s="109"/>
      <c r="E15" s="109"/>
    </row>
    <row r="16" spans="1:5" ht="15" hidden="1" customHeight="1" x14ac:dyDescent="0.25"/>
  </sheetData>
  <mergeCells count="2">
    <mergeCell ref="A1:B1"/>
    <mergeCell ref="C1:E1"/>
  </mergeCells>
  <pageMargins left="0.70866141732283472" right="0.70866141732283472" top="0.74803149606299213" bottom="0.74803149606299213" header="0.31496062992125984" footer="0.31496062992125984"/>
  <pageSetup paperSize="9" scale="5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6</vt:i4>
      </vt:variant>
    </vt:vector>
  </HeadingPairs>
  <TitlesOfParts>
    <vt:vector size="19" baseType="lpstr">
      <vt:lpstr>List2</vt:lpstr>
      <vt:lpstr>Neživotní upisovací riziko</vt:lpstr>
      <vt:lpstr>Zdravotní upisovací riziko</vt:lpstr>
      <vt:lpstr>Tržní riziko</vt:lpstr>
      <vt:lpstr>Riziko selhání protistrany</vt:lpstr>
      <vt:lpstr>Provozní riziko</vt:lpstr>
      <vt:lpstr>Sheet1</vt:lpstr>
      <vt:lpstr>Sheet2</vt:lpstr>
      <vt:lpstr>Katalog rizik</vt:lpstr>
      <vt:lpstr>Setříděná rizika</vt:lpstr>
      <vt:lpstr>List1</vt:lpstr>
      <vt:lpstr>Kontroly</vt:lpstr>
      <vt:lpstr>KategorieKontroly</vt:lpstr>
      <vt:lpstr>'Katalog rizik'!Print_Area</vt:lpstr>
      <vt:lpstr>KategorieKontroly!Print_Area</vt:lpstr>
      <vt:lpstr>'Setříděná rizika'!Print_Area</vt:lpstr>
      <vt:lpstr>'Katalog rizik'!Print_Titles</vt:lpstr>
      <vt:lpstr>'Setříděná rizika'!Print_Titles</vt:lpstr>
      <vt:lpstr>PT_Pojistně_technické_riziko</vt:lpstr>
    </vt:vector>
  </TitlesOfParts>
  <Manager/>
  <Company>Balfour Beatty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Pat Thompson</dc:creator>
  <cp:keywords/>
  <dc:description/>
  <cp:lastModifiedBy>Sulak Vojtech</cp:lastModifiedBy>
  <cp:revision/>
  <dcterms:created xsi:type="dcterms:W3CDTF">2004-03-16T11:19:09Z</dcterms:created>
  <dcterms:modified xsi:type="dcterms:W3CDTF">2025-09-16T07:10:27Z</dcterms:modified>
  <cp:category/>
  <cp:contentStatus/>
</cp:coreProperties>
</file>